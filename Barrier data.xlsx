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romptonconcepts-my.sharepoint.com/personal/sanju_cromptonconcepts_com_au/Documents/Application development/Apps/Risk Assessment and Barrier Design/RiskAssessment_Barrier design/"/>
    </mc:Choice>
  </mc:AlternateContent>
  <xr:revisionPtr revIDLastSave="154" documentId="8_{E4D925EA-3A45-40CC-9FED-D4C89119D202}" xr6:coauthVersionLast="47" xr6:coauthVersionMax="47" xr10:uidLastSave="{6B399E04-542A-4504-B032-E603D55EF770}"/>
  <bookViews>
    <workbookView xWindow="-120" yWindow="-120" windowWidth="38640" windowHeight="21120" xr2:uid="{00000000-000D-0000-FFFF-FFFF00000000}"/>
  </bookViews>
  <sheets>
    <sheet name="Barrier data" sheetId="2" r:id="rId1"/>
    <sheet name="Sheet1" sheetId="12" r:id="rId2"/>
    <sheet name="manufacturer" sheetId="10" r:id="rId3"/>
    <sheet name="Sheet5" sheetId="11" r:id="rId4"/>
    <sheet name="End treatment" sheetId="8" r:id="rId5"/>
    <sheet name="Sheet2" sheetId="7" r:id="rId6"/>
    <sheet name="Sheet3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2" i="7"/>
  <c r="C3" i="7"/>
  <c r="D3" i="7" s="1"/>
  <c r="C4" i="7"/>
  <c r="D4" i="7" s="1"/>
  <c r="C5" i="7"/>
  <c r="D5" i="7" s="1"/>
  <c r="C6" i="7"/>
  <c r="D6" i="7" s="1"/>
  <c r="C7" i="7"/>
  <c r="D7" i="7" s="1"/>
  <c r="C8" i="7"/>
  <c r="D8" i="7" s="1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D24" i="7" s="1"/>
  <c r="C25" i="7"/>
  <c r="D25" i="7" s="1"/>
  <c r="C2" i="7"/>
  <c r="D2" i="7" s="1"/>
  <c r="J27" i="2"/>
  <c r="J25" i="2"/>
  <c r="J22" i="2"/>
  <c r="J21" i="2"/>
  <c r="J20" i="2"/>
  <c r="J19" i="2"/>
  <c r="J18" i="2"/>
  <c r="J16" i="2"/>
  <c r="J15" i="2"/>
  <c r="J6" i="2"/>
  <c r="J10" i="2"/>
  <c r="J11" i="2"/>
  <c r="J12" i="2"/>
  <c r="J13" i="2"/>
  <c r="J17" i="2"/>
  <c r="J24" i="2"/>
  <c r="J35" i="2"/>
  <c r="J36" i="2"/>
  <c r="J41" i="2"/>
  <c r="J43" i="2"/>
  <c r="J46" i="2"/>
  <c r="J47" i="2"/>
  <c r="J50" i="2"/>
  <c r="J51" i="2"/>
</calcChain>
</file>

<file path=xl/sharedStrings.xml><?xml version="1.0" encoding="utf-8"?>
<sst xmlns="http://schemas.openxmlformats.org/spreadsheetml/2006/main" count="1112" uniqueCount="391">
  <si>
    <t>Barrier System</t>
  </si>
  <si>
    <t>Accepted Test Level</t>
  </si>
  <si>
    <t>Type</t>
  </si>
  <si>
    <t xml:space="preserve">Anchor/Post Spacing (m) </t>
  </si>
  <si>
    <t xml:space="preserve">Post/Pin Type </t>
  </si>
  <si>
    <t>TMR Conditions (Speed)</t>
  </si>
  <si>
    <t>Test Speed (km/h)</t>
  </si>
  <si>
    <t>Width of barrier</t>
  </si>
  <si>
    <t xml:space="preserve">Tested Article Length (m) </t>
  </si>
  <si>
    <t>Deflection (m)</t>
  </si>
  <si>
    <t>Working Width (m)</t>
  </si>
  <si>
    <t xml:space="preserve">Side slope limit </t>
  </si>
  <si>
    <t>Available Lengths (m)</t>
  </si>
  <si>
    <t>Unit Weight (kg)</t>
  </si>
  <si>
    <t>Registered Supplier</t>
  </si>
  <si>
    <t>Austroads TCU Link</t>
  </si>
  <si>
    <t>Manufacturers Specifications</t>
  </si>
  <si>
    <t>Image Link</t>
  </si>
  <si>
    <t>TMR Conditions</t>
  </si>
  <si>
    <t>Precast Concrete Barrier (PCB)</t>
  </si>
  <si>
    <t>Not Rated</t>
  </si>
  <si>
    <t>Concrete Single Slope</t>
  </si>
  <si>
    <t>Refer to Appendix B</t>
  </si>
  <si>
    <t>N/A</t>
  </si>
  <si>
    <t>Public Domain</t>
  </si>
  <si>
    <t xml:space="preserve">Public Domain </t>
  </si>
  <si>
    <t>DB80 K150</t>
  </si>
  <si>
    <t>DB80 K150 Precast Concrete Barrier</t>
  </si>
  <si>
    <t>MASH TL-3</t>
  </si>
  <si>
    <t>Concrete F-Shape</t>
  </si>
  <si>
    <t>Freestanding</t>
  </si>
  <si>
    <t>NA</t>
  </si>
  <si>
    <t>Max 80 km/h</t>
  </si>
  <si>
    <t>2,4,6</t>
  </si>
  <si>
    <t>1200/ 2400 / 3600</t>
  </si>
  <si>
    <t>Jaybro Group Pty Ltd</t>
  </si>
  <si>
    <t>Austroads TCU - DB80 K150</t>
  </si>
  <si>
    <t>https://austroads.gov.au/__data/assets/pdf_file/0018/433206/210720-TCU-DB80-K150-Safety-Barrier-Temporary.pdf</t>
  </si>
  <si>
    <t>https://cromptonconcepts-my.sharepoint.com/:b:/g/personal/sanju_cromptonconcepts_com_au/IQDX7trjrgYoSJsV4jJPnx4PAbdOzJasBl5HFtl9VxgNDE4?e=G5cE0F</t>
  </si>
  <si>
    <t>https://cromptonconcepts-my.sharepoint.com/:i:/g/personal/sanju_cromptonconcepts_com_au/IQDB3nHWBlTIT6IczRFGLHBsAQsQh4aUQgZKefFvFc3Mh9E?e=Aci4p5</t>
  </si>
  <si>
    <t>This F shape temporary concrete barrier is only acceptable for use
on roads with speed limits of 80 km/h or less.</t>
  </si>
  <si>
    <t>DB80 T150S</t>
  </si>
  <si>
    <t>DB80 T150S Precast Concrete Barrier</t>
  </si>
  <si>
    <t>Anchored at ends only</t>
  </si>
  <si>
    <t>1050 / 2100 /3150</t>
  </si>
  <si>
    <t>Austroads TCU - DB80 T150S</t>
  </si>
  <si>
    <t>https://austroads.gov.au/__data/assets/pdf_file/0034/467467/211220-TCU-DB80-T150-Safety-Barrier-Temporary.pdf</t>
  </si>
  <si>
    <t>https://cromptonconcepts-my.sharepoint.com/:b:/g/personal/sanju_cromptonconcepts_com_au/IQBrefS5WpFUQp3ZChsaGfV0ARIGo-24pC9FegEhfTI9qXk?e=Bo5Jmz</t>
  </si>
  <si>
    <t>https://cromptonconcepts-my.sharepoint.com/:i:/g/personal/sanju_cromptonconcepts_com_au/IQBGtPXQuQdgRrL70GzZkE3AAeo3r2-aR2ZJysdBIpHnO70?e=8fsU5m</t>
  </si>
  <si>
    <t>MASH TL-4</t>
  </si>
  <si>
    <t>DB80A T150S</t>
  </si>
  <si>
    <t>DB80A T150S Precast Concrete Barrier</t>
  </si>
  <si>
    <t xml:space="preserve">MASH TL3 (concrete installation) </t>
  </si>
  <si>
    <t xml:space="preserve">M20 x 380mm threaded rod with epoxy </t>
  </si>
  <si>
    <t>1100 /2200 / 3300</t>
  </si>
  <si>
    <t>Austroads TCU - DB80A T150S</t>
  </si>
  <si>
    <t>https://austroads.gov.au/__data/assets/pdf_file/0029/533846/221201-TCU-DB80A-T150-Safety-Barrier-Temporary.pdf</t>
  </si>
  <si>
    <t>https://cromptonconcepts-my.sharepoint.com/:b:/g/personal/sanju_cromptonconcepts_com_au/IQDvXCatzA8nTpYkYrZXiUwzAbDQ2wciURAIYW5_c2VucFA?e=hrndJM</t>
  </si>
  <si>
    <t>https://cromptonconcepts-my.sharepoint.com/:i:/g/personal/sanju_cromptonconcepts_com_au/IQBGtPXQuQdgRrL70GzZkE3AAeo3r2-aR2ZJysdBIpHnO70?e=hSkvqo</t>
  </si>
  <si>
    <t xml:space="preserve">MASH TL3 (asphalt installation) </t>
  </si>
  <si>
    <t>DB-Pin P600A</t>
  </si>
  <si>
    <t>JJ Hooks MASH</t>
  </si>
  <si>
    <t>JJ Hooks MASH Precast Concrete Barrier</t>
  </si>
  <si>
    <t>Australian Road Barriers</t>
  </si>
  <si>
    <t>3.6 Metre Barrier Unit</t>
  </si>
  <si>
    <t>https://austroads.gov.au/__data/assets/pdf_file/0025/480508/220314-TCU-3.6-M-JJ-Hooks-Safety-Barrier-Temporary.pdf</t>
  </si>
  <si>
    <t>https://cromptonconcepts-my.sharepoint.com/:b:/g/personal/sanju_cromptonconcepts_com_au/IQBx_780JrG9Q7IgN8KWbkYbAfx86uYATVT3CJnifxiniXg?e=JTjSFr</t>
  </si>
  <si>
    <t>https://cromptonconcepts-my.sharepoint.com/:i:/g/personal/sanju_cromptonconcepts_com_au/IQDz1S_A7n2HS4ywBfioJj3UAcQ6l2bz9NWREvWOUPFBf9U?e=wvyca2</t>
  </si>
  <si>
    <t>This F shape temporary concrete barrier is acceptable for use only
on roads with speed limits of 80 km/h or less.</t>
  </si>
  <si>
    <t>6 Metre Barrier Unit</t>
  </si>
  <si>
    <t>https://austroads.gov.au/__data/assets/pdf_file/0026/480509/220314-TCU-JJ-HOOKS-MASH-Safety-Barrier-Temporary.pdf</t>
  </si>
  <si>
    <t>T-LOK</t>
  </si>
  <si>
    <t>T-LOK Precast Concrete Barrier</t>
  </si>
  <si>
    <t>3.6, 5.49</t>
  </si>
  <si>
    <t>2600, 3900</t>
  </si>
  <si>
    <t>Saferoads</t>
  </si>
  <si>
    <t>Austroads TCU - T-LOK</t>
  </si>
  <si>
    <t>https://austroads.gov.au/__data/assets/pdf_file/0019/570520/230601-TCU-T-LOK-MASH-F-TYPE-Concrete-Safety-Barrier-Temporary.pdf</t>
  </si>
  <si>
    <t>https://cromptonconcepts-my.sharepoint.com/:b:/g/personal/sanju_cromptonconcepts_com_au/IQDSMh97B_yDQq8gWN6yM8tnAdTb3GbocCIUEYnerwdlTw8?e=wh8Lh2</t>
  </si>
  <si>
    <t>https://cromptonconcepts-my.sharepoint.com/:i:/g/personal/sanju_cromptonconcepts_com_au/IQCrkOkJ7Gs2SLRCwpYJycVqAfWgW5ik6QxWtvxS439m-SQ?e=A7JTqJ</t>
  </si>
  <si>
    <t>This F shape temporary concrete barrier is acceptable for use only
on roads with speed limits of 80 km/h or less.
The Bespoke Wedge is accepted for use where the speed limit is
restricted to 60 km/h or less.</t>
  </si>
  <si>
    <t>T-LOK Rubber</t>
  </si>
  <si>
    <t>T-LOK Rubber Precast Concrete Barrier</t>
  </si>
  <si>
    <t>Austroads TCU - T-LOK Rubber</t>
  </si>
  <si>
    <t>https://austroads.gov.au/__data/assets/pdf_file/0020/570521/230601-TCU-T-LOK-Rubber-Safety-Barrier-Temporary.pdf</t>
  </si>
  <si>
    <t>https://cromptonconcepts-my.sharepoint.com/:b:/g/personal/sanju_cromptonconcepts_com_au/IQBEoZiVSNbgRpBtMU_SZbMzAadu6jK2AP5iKGSehr6MUQI?e=cAefBw</t>
  </si>
  <si>
    <t>Pin and Loop</t>
  </si>
  <si>
    <t>Pin and Loop Precast Concrete Barrier</t>
  </si>
  <si>
    <t xml:space="preserve">3.81, </t>
  </si>
  <si>
    <t>Pin and Loop Pty Ltd</t>
  </si>
  <si>
    <t>Austroads TCU - Pin and Loop</t>
  </si>
  <si>
    <t>https://austroads.gov.au/__data/assets/pdf_file/0024/463434/211201-TCU-PIN-and-LOOP-Barrier-Temporary.pdf</t>
  </si>
  <si>
    <t>https://cromptonconcepts-my.sharepoint.com/:b:/g/personal/sanju_cromptonconcepts_com_au/IQC21N5hLheYQ4TgR-0PH1q3AX1op4gn9ItJEd1tK4-l0x4?e=mdSbb7</t>
  </si>
  <si>
    <t>BG800</t>
  </si>
  <si>
    <t>BG800 Steel Rail Safety Barrier</t>
  </si>
  <si>
    <t>Steel</t>
  </si>
  <si>
    <t>Nil</t>
  </si>
  <si>
    <t>6, 12</t>
  </si>
  <si>
    <t>540, 1080</t>
  </si>
  <si>
    <t>Ingal Civil Products</t>
  </si>
  <si>
    <t>BG800 Standard - Temporary:</t>
  </si>
  <si>
    <t>https://austroads.gov.au/__data/assets/pdf_file/0027/463455/211201-TCU-BG800-Safety-Barrier-Temporary.pdf</t>
  </si>
  <si>
    <t>https://cromptonconcepts-my.sharepoint.com/:b:/g/personal/sanju_cromptonconcepts_com_au/IQAE65BL7aOMQIdrdH-m001nAZwtMqzvsg2iA1lMZMExwOw?e=Yf6VGs</t>
  </si>
  <si>
    <t>BG800 MDS Steel Safety Barrier</t>
  </si>
  <si>
    <t xml:space="preserve">M24 x 250mm threaded rod with epoxy 
M24 x 450mm threaded rod with epoxy </t>
  </si>
  <si>
    <t>BG800 MDS - Temporary</t>
  </si>
  <si>
    <t>https://austroads.gov.au/__data/assets/pdf_file/0031/463459/211201-TCU-BG800-MDS-Safety-Barrier-Temporary.pdf</t>
  </si>
  <si>
    <t>BG800 LDS Steel Safety Barrier</t>
  </si>
  <si>
    <t>MASH TL-2</t>
  </si>
  <si>
    <t xml:space="preserve">M24 x 460mm Threaded rod with epoxy </t>
  </si>
  <si>
    <t>720, 1440</t>
  </si>
  <si>
    <t>BG800 LDS - Temporary</t>
  </si>
  <si>
    <t>https://austroads.gov.au/__data/assets/pdf_file/0024/463452/211201-TCU-BG800-LDS-Safety-Barrier-Temporary.pdf</t>
  </si>
  <si>
    <t>HighwayGuard</t>
  </si>
  <si>
    <t>HighwayGuard Safety Barrier - Temporary</t>
  </si>
  <si>
    <t>figure out later</t>
  </si>
  <si>
    <t>552, 1034</t>
  </si>
  <si>
    <t>HighwayGuard Standard - Temporary</t>
  </si>
  <si>
    <t>https://austroads.gov.au/__data/assets/pdf_file/0024/516552/220908-TCU-HIGHWAYGUARD-Safety-Barrier-Temporary.pdf</t>
  </si>
  <si>
    <t>C:\Users\Sanju\OneDrive - CromptonConcepts\Desktop\Temporary barriers\TMR Approved Barriers\Barriers\10.HighwayGuard\Standard</t>
  </si>
  <si>
    <t xml:space="preserve">HighwayGuard LDS Safety Barrier – Temporary </t>
  </si>
  <si>
    <t xml:space="preserve">M24 x 330mm threaded rod with epoxy
(12 metre anchor spacing only) 
M24 x 450mm threaded rod with epoxy </t>
  </si>
  <si>
    <t>HighwayGuard LDS - Temporary</t>
  </si>
  <si>
    <t>https://austroads.gov.au/__data/assets/pdf_file/0029/463448/211201-TCU-HIGHWAYGUARD-LDS-Safety-Barrier-Temporary.pdf</t>
  </si>
  <si>
    <t>https://cromptonconcepts-my.sharepoint.com/:b:/g/personal/sanju_cromptonconcepts_com_au/IQA_UG-EDewmQ7DALi7YAtf8AWoPx6wojO3P2Yz_gDj27AY?e=BUbMke</t>
  </si>
  <si>
    <t xml:space="preserve">HighwayGuard MDS Safety Barrier – Temporary </t>
  </si>
  <si>
    <t>HighwayGuard MDS - Temporary (TL-3):</t>
  </si>
  <si>
    <t>https://austroads.gov.au/__data/assets/pdf_file/0027/570528/230601-TCU-HIGHWAYGUARD-MDS-Safety-Barrier-Temporary.pdf</t>
  </si>
  <si>
    <t>https://cromptonconcepts-my.sharepoint.com/:b:/g/personal/sanju_cromptonconcepts_com_au/IQDAh9QlCy3rS6xmAFLvuaJTAZPFCNVu_o5R1ko0NA6B390?e=7lggQa</t>
  </si>
  <si>
    <t>Defender Barrier</t>
  </si>
  <si>
    <t xml:space="preserve">DEFENDER Barrier 70 Steel Safety Barrier - Temporary  </t>
  </si>
  <si>
    <t xml:space="preserve">Freestanding with ballast </t>
  </si>
  <si>
    <t>Safe Barriers Pty. Ltd.</t>
  </si>
  <si>
    <t>Defender Barrier 70:</t>
  </si>
  <si>
    <t>https://austroads.gov.au/__data/assets/pdf_file/0028/463429/211201-TCU-DEFENDER-70-Safety-Barrier-Temporary.pdf</t>
  </si>
  <si>
    <t>https://cromptonconcepts-my.sharepoint.com/:b:/g/personal/sanju_cromptonconcepts_com_au/IQC0rwROKN1lS6HjYcpuC9CKAQFApKzZkC_5y6LEGwJu9V0?e=cz22ty</t>
  </si>
  <si>
    <t>DEFENDER Barrier 100 LDS Safety Barrier - Temporary</t>
  </si>
  <si>
    <t xml:space="preserve">Deep lift asphaltic concrete - M25 x 440mm threaded rod with epoxy 
Asphaltic concrete over granular pavement - M30 x 500mm asphalt pin </t>
  </si>
  <si>
    <t>Defender Barrier 100 LDS</t>
  </si>
  <si>
    <t>https://austroads.gov.au/__data/assets/pdf_file/0022/444307/210903-TCU-DEFENDER-100-LDS-Safety-Barrier-Temporary.pdf</t>
  </si>
  <si>
    <t>https://cromptonconcepts-my.sharepoint.com/:b:/g/personal/sanju_cromptonconcepts_com_au/IQDt6nwa8K77T53ggK7kWT7rAUWTQjuqqkRmjr1L0xuaKKM?e=1wQ4fx</t>
  </si>
  <si>
    <t xml:space="preserve">DEFENDER Barrier 100 HC Steel Safety Barrier - Temporary </t>
  </si>
  <si>
    <t>M30 x 500mm asphalt pin</t>
  </si>
  <si>
    <t>Defender Barrier 100 HC:</t>
  </si>
  <si>
    <t>https://austroads.gov.au/__data/assets/pdf_file/0021/444306/210903-TCU-DEFENDER-100-HC-Safety-Barrier-Temporary.pdf</t>
  </si>
  <si>
    <t>https://cromptonconcepts-my.sharepoint.com/:b:/g/personal/sanju_cromptonconcepts_com_au/IQAOl0nnSYxXRq8E8wt1l8r-ATNOWUMIkM2myzLODy4EkXY?e=clmuKO</t>
  </si>
  <si>
    <t xml:space="preserve">DEFENDER 100 FS Safety Barrier - Temporary </t>
  </si>
  <si>
    <t>Freestanding with ballast</t>
  </si>
  <si>
    <t>Defender Barrier 100 FS</t>
  </si>
  <si>
    <t>https://austroads.gov.au/__data/assets/pdf_file/0022/463432/211201-TCU-DEFENDER-100-FS-Safety-Barrier-Temporary.pdf</t>
  </si>
  <si>
    <t>https://cromptonconcepts-my.sharepoint.com/:b:/g/personal/sanju_cromptonconcepts_com_au/IQDoNyGUN-i6RK2LvQf-Oqp6ASeuDNKZYJ2k762fpSw-0-U?e=ao0Wdf</t>
  </si>
  <si>
    <t>SafeZone</t>
  </si>
  <si>
    <t xml:space="preserve">SAFEZONE Safety Barrier - Temporary  </t>
  </si>
  <si>
    <t>5.8,</t>
  </si>
  <si>
    <t>SafeZone Standard - Temporary</t>
  </si>
  <si>
    <t>https://austroads.gov.au/__data/assets/pdf_file/0013/633100/240307-TCU-SafeZone-LDS-Safety-Barrier-Permanent-and-Temporary.pdf</t>
  </si>
  <si>
    <t>https://cromptonconcepts-my.sharepoint.com/:b:/g/personal/sanju_cromptonconcepts_com_au/IQCY9H9p7Y-nRZkKtiGYrItzAaaJVrYK7ghOxEX1j5HA9NE?e=LGAV8i</t>
  </si>
  <si>
    <t xml:space="preserve">SafeZone LDS Safety Barrier – Permanent &amp; Temporary  </t>
  </si>
  <si>
    <t xml:space="preserve">Concrete - M30 x 300mm threaded rod with  epoxy (TL4) or M30 x 175mm threaded rod with  epoxy (TL3 only) 
Deep lift asphaltic concrete - M30 x 300mm threaded rod with epoxy
Asphaltic concrete over granular - M30 x 300mm threaded rod with epoxy </t>
  </si>
  <si>
    <t>5.8, 11.6</t>
  </si>
  <si>
    <t>464, 1070</t>
  </si>
  <si>
    <t>SafeZone LDS – Permanent &amp; Temporary</t>
  </si>
  <si>
    <t>https://austroads.gov.au/__data/assets/pdf_file/0029/592643/230901-TCU-SAFEZONE-MDS-Safety-Barrier-Permanent-and-Temporary.pdf</t>
  </si>
  <si>
    <t xml:space="preserve">SAFEZONE MDS Safety Barrier – Permanent &amp; Temporary </t>
  </si>
  <si>
    <t xml:space="preserve">M30 x 300mm threaded rod with epoxy  </t>
  </si>
  <si>
    <t>SafeZone MDS - Permanent &amp; Temporary</t>
  </si>
  <si>
    <t>IronMan Hybrid MASH</t>
  </si>
  <si>
    <t xml:space="preserve">IRONMAN HYBRID Steel Safety Barrier - Temporary </t>
  </si>
  <si>
    <t>freestanding</t>
  </si>
  <si>
    <t>Bespoke Wedge ≤60</t>
  </si>
  <si>
    <t>Austroads TCU - IronMan</t>
  </si>
  <si>
    <t>https://austroads.gov.au/__data/assets/pdf_file/0030/598620/230925-TCU-IRONMAN-HYBRID-Safety-Barrier-Temporary.pdf</t>
  </si>
  <si>
    <t>https://cromptonconcepts-my.sharepoint.com/:b:/g/personal/sanju_cromptonconcepts_com_au/IQAUrDclLO-OS5y3Q_0KsCaSAe7DXAZufGpgEdJ6uTA_PGw?e=RkCLwe</t>
  </si>
  <si>
    <t>The Bespoke Wedge is accepted for use where the speed limit is
restricted to 60 km/h or less.</t>
  </si>
  <si>
    <t>Zoneguard</t>
  </si>
  <si>
    <t>ZONEGUARD Steel Safety Barrier - Temporary</t>
  </si>
  <si>
    <t xml:space="preserve">Concrete - M30 x 300mm threaded rod with  epoxy 
Deep lift asphaltic concrete, Asphaltic concrete over granular pavement, Flush seal over granular pavement - M30 x 500mm
 </t>
  </si>
  <si>
    <t>4.11, 11.85</t>
  </si>
  <si>
    <t>400, 1100</t>
  </si>
  <si>
    <t>Hill &amp; Smith</t>
  </si>
  <si>
    <t>Zoneguard Standard</t>
  </si>
  <si>
    <t>https://austroads.gov.au/__data/assets/pdf_file/0032/464981/211208-TCU-ZONEGUARD-Safety-Barrier-Temporary.pdf</t>
  </si>
  <si>
    <t>https://cromptonconcepts-my.sharepoint.com/:b:/g/personal/sanju_cromptonconcepts_com_au/IQApkEcGBtuZQpO8utTHqagEAZ-CafBa7wSggd3MVh9vVKY?e=cepeMd</t>
  </si>
  <si>
    <t xml:space="preserve">ZONEGUARD MDS Steel Safety Barrier - Temporary  </t>
  </si>
  <si>
    <t>NCHRP 350 TL3 update (Concrete Installation)</t>
  </si>
  <si>
    <t xml:space="preserve">M30 x 300mm treaded rod with epoxy </t>
  </si>
  <si>
    <t>Zoneguard MDS</t>
  </si>
  <si>
    <t>https://austroads.gov.au/__data/assets/pdf_file/0032/406985/210304-TCU-ZONEGUARD-MDS-Safety-Barrier-Temporary.pdf</t>
  </si>
  <si>
    <t xml:space="preserve">MASH TL3 (Asphalt Installation) </t>
  </si>
  <si>
    <t>HV2</t>
  </si>
  <si>
    <t>HV2 Steel and Concrete Longitudinal Barrier - Temporary</t>
  </si>
  <si>
    <t>Saferoads Pty Ltd</t>
  </si>
  <si>
    <t>Austroads TCU - HV2</t>
  </si>
  <si>
    <t>https://austroads.gov.au/__data/assets/pdf_file/0021/463440/211201-TCU-HV2-Safety-Barrier-Temporary.pdf</t>
  </si>
  <si>
    <t>https://cromptonconcepts-my.sharepoint.com/:b:/g/personal/sanju_cromptonconcepts_com_au/IQDPaYppRQs-Q4N6w4ToxD0AAUmqiBVFMe2rXW44JnqyAQ0?e=VzoC14</t>
  </si>
  <si>
    <t>ArmorZone MASH</t>
  </si>
  <si>
    <t>ArmorZone MASH Water Filled Safety Barrier System - Temporary</t>
  </si>
  <si>
    <t>MASH TL-1</t>
  </si>
  <si>
    <t>Plastic Water Filled</t>
  </si>
  <si>
    <t>Austroads TCU - ArmorZone</t>
  </si>
  <si>
    <t>https://austroads.gov.au/__data/assets/pdf_file/0032/388283/201120-TCU-ARMORZONE-MASH-Water-Filled-Barrier-Temporary.pdf</t>
  </si>
  <si>
    <t>https://cromptonconcepts-my.sharepoint.com/:b:/g/personal/sanju_cromptonconcepts_com_au/IQCCjrIVJnSPTrg6Xeh8qycbAYvj07xSgU9XVXdUXZk6zW4?e=qA8PLF</t>
  </si>
  <si>
    <t>Ricochet</t>
  </si>
  <si>
    <t>RICOCHET Plastic Water Filled Safety Barrier System - Temporary</t>
  </si>
  <si>
    <t>TFH Hire Services</t>
  </si>
  <si>
    <t>Austroads TCU - Ricochet</t>
  </si>
  <si>
    <t>https://austroads.gov.au/__data/assets/pdf_file/0027/388323/201120-TCU-RICOCHET-Water-Filled-Barrier-Temporary.pdf</t>
  </si>
  <si>
    <t>https://cromptonconcepts-my.sharepoint.com/:b:/g/personal/sanju_cromptonconcepts_com_au/IQCYL7MVSYYhSqorgKdBplmbAaiiOw_Zu7OimSb8PN-uS3s?e=dbWrLR</t>
  </si>
  <si>
    <t>Lo-Ro Water Cable Barrier</t>
  </si>
  <si>
    <t xml:space="preserve">Lo-Ro Water Filled Cable Barrier System - Temporary </t>
  </si>
  <si>
    <t>Austroads TCU - Lo-Ro</t>
  </si>
  <si>
    <t>https://austroads.gov.au/__data/assets/pdf_file/0024/388320/201120-TCU-LO-RO-Water-Cable-Barrier-Temporary.pdf</t>
  </si>
  <si>
    <t>https://cromptonconcepts-my.sharepoint.com/:b:/g/personal/sanju_cromptonconcepts_com_au/IQDBHRe_uqT1SaTUiW5-8TXgAUY3Cd-G3-033GQQYHAKgfM?e=YdxyXc</t>
  </si>
  <si>
    <t>Shield I</t>
  </si>
  <si>
    <t xml:space="preserve">SHIELD I Water Filled Safety Barrier System - Temporary </t>
  </si>
  <si>
    <t>National Plastic Group</t>
  </si>
  <si>
    <t>Austroads TCU - Shield I</t>
  </si>
  <si>
    <t>https://austroads.gov.au/__data/assets/pdf_file/0030/388326/201120-TCU-SHIELD-I-Water-Filled-Barrier-System-Temporary.pdf</t>
  </si>
  <si>
    <t>https://cromptonconcepts-my.sharepoint.com/:b:/g/personal/sanju_cromptonconcepts_com_au/IQAUlEQKQuqoRLf5dV8UKo3mASE0hqnt51jV83jCgKmOW48?e=ovOaTx</t>
  </si>
  <si>
    <t>Mobile Barriers MBT-1</t>
  </si>
  <si>
    <t xml:space="preserve">MOBILE BARRIER MBT-1 Steel Safety Barrier - Temporary </t>
  </si>
  <si>
    <t>Mobile Workzone</t>
  </si>
  <si>
    <t>12.8, 18.9</t>
  </si>
  <si>
    <t>9000, 38500</t>
  </si>
  <si>
    <t>Mobile Barriers</t>
  </si>
  <si>
    <t>Austroads TCU - MBT-1</t>
  </si>
  <si>
    <t>https://austroads.gov.au/__data/assets/pdf_file/0025/388321/201120-TCU-MBT-1-Safety-Barrier-Temporary.pdf</t>
  </si>
  <si>
    <t>https://cromptonconcepts-my.sharepoint.com/:b:/g/personal/sanju_cromptonconcepts_com_au/IQB0uDBf3CfbSq_pKXPdKmxGAe_Vr_sFAt7teAATep4EBXs?e=s3AcBT</t>
  </si>
  <si>
    <t>Rebloc 80SAH 12</t>
  </si>
  <si>
    <t>Rebloc 80SAH_12 Safety Barrier - Temporary</t>
  </si>
  <si>
    <t>Concrete Freestanding</t>
  </si>
  <si>
    <t>Onsite</t>
  </si>
  <si>
    <t>Austroads TCU - Rebloc</t>
  </si>
  <si>
    <t>https://austroads.gov.au/__data/assets/pdf_file/0015/515130/220902-TCU-Rebloc-80SAH_12-Safety-Barrier.pdf</t>
  </si>
  <si>
    <t>https://cromptonconcepts-my.sharepoint.com/:b:/g/personal/sanju_cromptonconcepts_com_au/IQBo1kWy6NGIRIqpHr0YuBNmATrUAk05BLBaO894fcDOhOs?e=w4E3p7</t>
  </si>
  <si>
    <t>Rebloc 80SAH 12 8B</t>
  </si>
  <si>
    <t>Rebloc 80SAH_12_8B Safety Barrier - Temporary</t>
  </si>
  <si>
    <t>Concrete Anchored</t>
  </si>
  <si>
    <t xml:space="preserve">HSB 20 x 300mm screw bolt </t>
  </si>
  <si>
    <t>https://austroads.gov.au/__data/assets/pdf_file/0027/481626/220322-TCU-Rebloc-80SAH_12_8B-Safety-Barrier.pdf</t>
  </si>
  <si>
    <t>https://cromptonconcepts-my.sharepoint.com/:b:/g/personal/sanju_cromptonconcepts_com_au/IQAcpNHmM849T70d96I491reAb1vlu6zPHpufYYmS4tPe_k?e=EfYwb3</t>
  </si>
  <si>
    <t>Rebloc 80SAH 4</t>
  </si>
  <si>
    <t xml:space="preserve">Rebloc 80SAH_4 Safety Barrier - Temporary </t>
  </si>
  <si>
    <t xml:space="preserve">MASH TL-3 </t>
  </si>
  <si>
    <t>https://austroads.gov.au/__data/assets/pdf_file/0029/533576/221201-TCU-Rebloc-80SAH_4-Safety-Barrier-Temporary.pdf</t>
  </si>
  <si>
    <t>https://cromptonconcepts-my.sharepoint.com/:b:/g/personal/sanju_cromptonconcepts_com_au/IQBd_vnDEaZrQaldcLgSRgjJASTTZxhPlQiMwRa8t0ZkiuU?e=U6iReN</t>
  </si>
  <si>
    <t>Rebloc 120FA 6 SF</t>
  </si>
  <si>
    <t>Rebloc 120FA_6_SF Safety Barrier - Temporary</t>
  </si>
  <si>
    <t>https://austroads.gov.au/__data/assets/pdf_file/0043/498778/220616-TCU-Rebloc-120FA_6_FS-Safety-Barrier.pdf</t>
  </si>
  <si>
    <t>https://cromptonconcepts-my.sharepoint.com/:b:/g/personal/sanju_cromptonconcepts_com_au/IQDRmAouByW9Qq4SHyvIt2S5ATqUzZA4UN6IQfozqa7TIyA?e=2m6LVV</t>
  </si>
  <si>
    <t>MASH TL-5</t>
  </si>
  <si>
    <t>Recommended End treatments</t>
  </si>
  <si>
    <t>https://www.rsea.com.au/Images/ProductImages/Medium/DB80_1.jpg</t>
  </si>
  <si>
    <t>https://deltabloc.com/assets/images/9/slider-db80-product-01-d5f86934.webp</t>
  </si>
  <si>
    <t>https://s.yimg.com/ny/api/res/1.2/UlYB4Dh.4B0CAJsf4YWd5w--/YXBwaWQ9aGlnaGxhbmRlcjt3PTY0MDtoPTM0MA--/https://media.zenfs.com/en/accesswire.ca/23c1b596b6abd4fe4b9e65c0db6631f9</t>
  </si>
  <si>
    <t>https://www.rockinghamprecast.com/assets/barrier/Barrier-1-1024x682-e95d03ae3260558bf15e2099b35e70a1e313f215f9b847ccb799794663fe98ff.jpg</t>
  </si>
  <si>
    <t>https://www.saferoads.com.au/media/rubbertlok1472.jpg</t>
  </si>
  <si>
    <t>https://encrypted-tbn0.gstatic.com/images?q=tbn:ANd9GcTd_vcY9htRDEx3kmmIPL8e_dFsQ77E7J1cmA&amp;s</t>
  </si>
  <si>
    <t>https://webassetsprod.valmont.com/valmontproduction/images/ingalcivilau2024libraries/products/guardrail/ezyguard-smart/ezyguard-smart.png?sfvrsn=63618039_1</t>
  </si>
  <si>
    <t>https://www.rpmhire.com.au/wp-content/uploads/2022/09/38-1-1024x1024.jpg</t>
  </si>
  <si>
    <t>https://encrypted-tbn0.gstatic.com/images?q=tbn:ANd9GcTMm5AdBQwuyp-njndvqUyd9L2girh5J469fw&amp;s</t>
  </si>
  <si>
    <t>https://encrypted-tbn0.gstatic.com/images?q=tbn:ANd9GcSrke7EEFUMwI0AfwPZuWn2eWlrr_H3L95STw&amp;s</t>
  </si>
  <si>
    <t>https://www.saferoads.com.au/media/IHB-2.jpg</t>
  </si>
  <si>
    <t>https://hillandsmith.com/wp-content/uploads/2022/02/floating-image.png</t>
  </si>
  <si>
    <t>https://encrypted-tbn0.gstatic.com/images?q=tbn:ANd9GcSqvX9uI5h7NpJSrwBs6d28iMU3GQysQGj1kQ&amp;s</t>
  </si>
  <si>
    <t>https://encrypted-tbn0.gstatic.com/images?q=tbn:ANd9GcSlYEbeYaI4LAckOZhO2SSIHaEw3Mx2QQ8-Sg&amp;s</t>
  </si>
  <si>
    <t>https://www.jaybro.com.au/pub/media/catalog/product/1/5/15-loror-lo-ro-water-cable-barrier-red.jpg?width=265&amp;height=265&amp;store=au_default&amp;image-type=image</t>
  </si>
  <si>
    <t>https://sitehq-production.s3.amazonaws.com/wp-prod/uploads/5.-Shield-I-Product-Manual1.jpg</t>
  </si>
  <si>
    <t>https://www.mobilebarriers.com/media/index_media/Capital%20Beltway%20I-495%20Express%20Lanes%20Maintenance%20_27_n%20Mobile%20Barriers%20MBT-1.jpg</t>
  </si>
  <si>
    <t>https://www.roadsidepooledfund.org/wp-content/uploads/2021/10/Screenshot-153.png</t>
  </si>
  <si>
    <t>https://www.roadsidepooledfund.org/wp-content/uploads/2021/10/Screenshot-155.png</t>
  </si>
  <si>
    <t>https://encrypted-tbn0.gstatic.com/images?q=tbn:ANd9GcRWHQk1XrRCxX6lrEyVsGFPmr32B-Ttmr-XAA&amp;s</t>
  </si>
  <si>
    <t>https://encrypted-tbn0.gstatic.com/images?q=tbn:ANd9GcQnyqAAIEOlYEDSkUpm3aRalO_m6tWQqLkasQ&amp;s</t>
  </si>
  <si>
    <t>Manufacturer's Specifications Link</t>
  </si>
  <si>
    <t>DB80 Series</t>
  </si>
  <si>
    <t>https://www.jaybro.com.au/eco-barrier</t>
  </si>
  <si>
    <t>https://www.australianroadbarriers.com.au/products/jj-hooks-mash/</t>
  </si>
  <si>
    <t>https://www.saferoads.com.au/products/barriers/temporary-barriers/t-lok</t>
  </si>
  <si>
    <t>https://pinandloop.com.au/</t>
  </si>
  <si>
    <t>https://www.ingalcivil.com.au/products/temporary-barriers/bg800</t>
  </si>
  <si>
    <t>https://www.ingalcivil.com.au/products/aus/highwayguard</t>
  </si>
  <si>
    <t>https://safebarriers.com/defender-barrier/</t>
  </si>
  <si>
    <t>https://www.jaybro.com.au/safezone-steel-barrier.html</t>
  </si>
  <si>
    <t>IronMan Hybrid</t>
  </si>
  <si>
    <t>https://www.saferoads.com.au/ironman-hybrid-barrier</t>
  </si>
  <si>
    <t>https://www.rsea.com.au/hire-range/zoneguard</t>
  </si>
  <si>
    <t>https://www.saferoads.com.au/products/barriers/temporary-barriers/hv2-barrier</t>
  </si>
  <si>
    <t>https://www.ingalcivil.com.au/products/temporary-barriers/armorzone-mash-tl-2-tl-3</t>
  </si>
  <si>
    <t>https://www.advantageplastics.com.au/ricochet-barrier</t>
  </si>
  <si>
    <t>Lo-Ro Water Cable</t>
  </si>
  <si>
    <t>https://www.jaybro.com.au/lo-ro-water-filled-barrier.html</t>
  </si>
  <si>
    <t>https://www.barriersystemsinc.com/shield-1-barrier</t>
  </si>
  <si>
    <t>https://mobilebarriers.com/</t>
  </si>
  <si>
    <t>Rebloc</t>
  </si>
  <si>
    <t>https://www.rebloc.com/en/products/temporary-barriers/</t>
  </si>
  <si>
    <t>Barrier System.1</t>
  </si>
  <si>
    <t xml:space="preserve">https://www.jaybro.com.au/eco-barrier </t>
  </si>
  <si>
    <t>This F shape temporary concrete barrier is only acceptable for use_x000D_
on roads with speed limits of 80 km/h or less.</t>
  </si>
  <si>
    <t>This F shape temporary concrete barrier is acceptable for use only_x000D_
on roads with speed limits of 80 km/h or less.</t>
  </si>
  <si>
    <t>This F shape temporary concrete barrier is acceptable for use only_x000D_
on roads with speed limits of 80 km/h or less._x000D_
The Bespoke Wedge is accepted for use where the speed limit is_x000D_
restricted to 60 km/h or less.</t>
  </si>
  <si>
    <t>The Bespoke Wedge is accepted for use where the speed limit is_x000D_
restricted to 60 km/h or less.</t>
  </si>
  <si>
    <t xml:space="preserve">Concrete - M30 x 300mm threaded rod with  epoxy _x000D_
Deep lift asphaltic concrete, Asphaltic concrete over granular pavement, Flush seal over granular pavement - M30 x 500mm_x000D_
 </t>
  </si>
  <si>
    <t>End Treatment System</t>
  </si>
  <si>
    <t>Product Name</t>
  </si>
  <si>
    <t>Anchor/Post Spacing (m)</t>
  </si>
  <si>
    <t>Post/Pin Type</t>
  </si>
  <si>
    <t>Width of system (m)</t>
  </si>
  <si>
    <t>Side slope limit</t>
  </si>
  <si>
    <t>Absorb-M</t>
  </si>
  <si>
    <t>Absorb-M Plastic Crash Cushion</t>
  </si>
  <si>
    <t xml:space="preserve">MASH TL-2 </t>
  </si>
  <si>
    <t>Water Filled, Non-Redirective, Gating Plastic Terminal</t>
  </si>
  <si>
    <t xml:space="preserve">Max 60 km/h </t>
  </si>
  <si>
    <t>N/A (Gating)</t>
  </si>
  <si>
    <t>Safe Direction</t>
  </si>
  <si>
    <t>https://austroads.gov.au/__data/assets/pdf_file/0031/425587/210607-TCU-ABSORB-M-Crash-Cushion.pdf</t>
  </si>
  <si>
    <t>https://www.safedirection.com.au/wp-content/uploads/2023/04/Installation-Manual-ABSORB-M-Plastic-Crash-Cushion.pdf</t>
  </si>
  <si>
    <t>Nil.</t>
  </si>
  <si>
    <t xml:space="preserve">Max 80 km/h </t>
  </si>
  <si>
    <t>ArmorBuffa</t>
  </si>
  <si>
    <t>ArmorBuffa Plastic Water Filled Crash Cushion</t>
  </si>
  <si>
    <t>Non-Redirective, Gating Plastic Water Filled End Treatment</t>
  </si>
  <si>
    <t>Max 80 km/h (TL-3)</t>
  </si>
  <si>
    <t>https://austroads.gov.au/__data/assets/pdf_file/0024/444291/210903-TCU-ArmorBuffa-Crash-Cushion.pdf</t>
  </si>
  <si>
    <t>https://cromptonconcepts-my.sharepoint.com/:b:/g/personal/sanju_cromptonconcepts_com_au/IQDEqXg2DbbER7nbMQOmucU3ASGynthJt4VmZeU5o7xyWM0?e=GekvdR</t>
  </si>
  <si>
    <t>Max 70 km/h (TL-2)</t>
  </si>
  <si>
    <t>SLED</t>
  </si>
  <si>
    <t>SLED Plastic Water Filled End Terminal</t>
  </si>
  <si>
    <t>Max 50 km/h (TL-1)</t>
  </si>
  <si>
    <t>https://austroads.gov.au/__data/assets/pdf_file/0022/391261/201205-TCU-SLED-Water-Filled-End-Terminal.pdf</t>
  </si>
  <si>
    <t>https://cromptonconcepts-my.sharepoint.com/:b:/g/personal/sanju_cromptonconcepts_com_au/IQCP_v2guPR2TYw9AkEMYkheAbqZkdYza4JdXJYXq3GbKfA?e=pugMV0</t>
  </si>
  <si>
    <t>Universal TAU-M</t>
  </si>
  <si>
    <t>Universal TAU-M Crash Cushion</t>
  </si>
  <si>
    <t>Redirective Crash Cushion</t>
  </si>
  <si>
    <t>Refer to Drawings</t>
  </si>
  <si>
    <t>Redirective</t>
  </si>
  <si>
    <t>https://austroads.gov.au/__data/assets/pdf_file/0029/633386/240307-TCU-Universal-Tau-M-Crash-Cushion-Permanent-and-Temporary.pdf</t>
  </si>
  <si>
    <t>https://cromptonconcepts-my.sharepoint.com/:b:/g/personal/sanju_cromptonconcepts_com_au/IQCwlwNu2L9JRbZkC8TRVcJnAeOMbdn28Bb27bhmY39k9qY?e=U0jf5j</t>
  </si>
  <si>
    <t>TAU-XR</t>
  </si>
  <si>
    <t>TAU-XR Crash Cushion</t>
  </si>
  <si>
    <t>100 km/h</t>
  </si>
  <si>
    <t>https://austroads.gov.au/__data/assets/pdf_file/0027/674910/240904-TCU-Tau-XR-Crash-Cushion.pdf</t>
  </si>
  <si>
    <t>https://cromptonconcepts-my.sharepoint.com/:b:/g/personal/sanju_cromptonconcepts_com_au/IQAn6_jgye_5T7RNJ4LLfKxGAcaHWobIra_UQb_Ycy8za9U?e=xA2Wm1</t>
  </si>
  <si>
    <t>ET-SS</t>
  </si>
  <si>
    <t>ET-SS Guardrail End Terminal</t>
  </si>
  <si>
    <t>Gating Terminal</t>
  </si>
  <si>
    <t>Driven or Baseplate</t>
  </si>
  <si>
    <t>70 km/h</t>
  </si>
  <si>
    <t>Gating</t>
  </si>
  <si>
    <t>https://austroads.gov.au/__data/assets/pdf_file/0032/533849/221201-TCU-ET-SS-Terminal.pdf</t>
  </si>
  <si>
    <t>https://cromptonconcepts-my.sharepoint.com/:b:/g/personal/sanju_cromptonconcepts_com_au/IQA6nEye2kntQoZ-80m2l1CFAQ2nzK4t-IiFP5ff_bgPGCA?e=cmIexp</t>
  </si>
  <si>
    <t>Refer to TCU.</t>
  </si>
  <si>
    <t>MSKT</t>
  </si>
  <si>
    <t>MASH Sequential Kinking Terminal (MSKT)</t>
  </si>
  <si>
    <t>Driven</t>
  </si>
  <si>
    <t>https://austroads.gov.au/__data/assets/pdf_file/0027/633375/240307-TCU-MSKT-Permanent.pdf</t>
  </si>
  <si>
    <t>https://cromptonconcepts-my.sharepoint.com/:b:/g/personal/sanju_cromptonconcepts_com_au/IQCTf7W7pDUmQpaBDD396tKDAWI80MBWyEYku4__dNwThc0?e=IO4ZgI</t>
  </si>
  <si>
    <t>MAX-Tension</t>
  </si>
  <si>
    <t>MAX-Tension Guardrail Terminal</t>
  </si>
  <si>
    <t>https://austroads.gov.au/__data/assets/pdf_file/0032/388247/201120-TCU-MAX-TENSION-Terminal.pdf</t>
  </si>
  <si>
    <t>https://cromptonconcepts-my.sharepoint.com/:b:/g/personal/sanju_cromptonconcepts_com_au/IQBrv5e3N-VQRqhzZrdg9_1nAVA0wsyHNS4Jr3VCyJR1A2o?e=UTkK3j</t>
  </si>
  <si>
    <t>Trend Median Terminal</t>
  </si>
  <si>
    <t>Gating Terminal (Median)</t>
  </si>
  <si>
    <t>https://austroads.gov.au/__data/assets/pdf_file/0032/554855/230324-TCU-Trend-Median-Terminal.pdf</t>
  </si>
  <si>
    <t>https://cromptonconcepts-my.sharepoint.com/:b:/g/personal/sanju_cromptonconcepts_com_au/IQCDUGRch_3uRbx9LFPDkV3JAaQNsEo2wug3KV8_9JrKvJM?e=UVPWCc</t>
  </si>
  <si>
    <t>QUADGUARD M10</t>
  </si>
  <si>
    <t>QuadGuard M10 Crash Cushion</t>
  </si>
  <si>
    <t>https://austroads.gov.au/__data/assets/pdf_file/0032/406958/210304-TCU-QUADGUARD-M10-Crash-Cushion.pdf</t>
  </si>
  <si>
    <t>https://cromptonconcepts-my.sharepoint.com/:b:/g/personal/sanju_cromptonconcepts_com_au/IQAWt9Uq2ojLRbn9iVwWfUfnAanCjD-wUAuURfQVkSS4u3s?e=lU0wsE</t>
  </si>
  <si>
    <t>QUADGUARD M10 CZ</t>
  </si>
  <si>
    <t>QUADGUARD M10 CZ Crash Cushion</t>
  </si>
  <si>
    <t>https://austroads.gov.au/__data/assets/pdf_file/0019/444331/210906-TCU-QUADGUARD-M10-CZ-Crash-Cushion.pdf</t>
  </si>
  <si>
    <t>https://cromptonconcepts-my.sharepoint.com/:b:/g/personal/sanju_cromptonconcepts_com_au/IQACRnHoflQHTb8sUF12d-GdAYDwWI7-69VwA9LBHlYWs3M?e=gPJgqN</t>
  </si>
  <si>
    <t>QUADGUARD Elite M10</t>
  </si>
  <si>
    <t>QuadGuard Elite M10 Crash Cushion</t>
  </si>
  <si>
    <t>Anchored</t>
  </si>
  <si>
    <t>0.61 (Standard) / 1.75 (Wide)</t>
  </si>
  <si>
    <t>https://austroads.gov.au/__data/assets/pdf_file/0030/633378/240307-TCU-Quadguard-Elite-M10-Crash-Cushion-Permanent.pdf</t>
  </si>
  <si>
    <t>https://www.ingalcivil.com.au/products/aus/quadguard-elite-m10</t>
  </si>
  <si>
    <t>SMART Crash Cushion</t>
  </si>
  <si>
    <t>Smart Cushion SCI100GM</t>
  </si>
  <si>
    <t>LB Australia</t>
  </si>
  <si>
    <t>https://austroads.gov.au/__data/assets/pdf_file/0024/391236/201205-TCU-SMART-Steel-Crash-Cushion.pdf</t>
  </si>
  <si>
    <t>https://lbaustralia.com.au/products/smart-cushion-speed-dependent-crash-attenuator/</t>
  </si>
  <si>
    <t>Hercules</t>
  </si>
  <si>
    <t>Hercules Crash Cushion</t>
  </si>
  <si>
    <t>https://austroads.gov.au/__data/assets/pdf_file/0022/444316/210903-TCU-HERCULES-Crash-Cushion.pdf</t>
  </si>
  <si>
    <t>https://www.safedirection.com.au/products/guardrail-products/road-barriers/crash-cushions/hercules/</t>
  </si>
  <si>
    <t>Barrier Name</t>
  </si>
  <si>
    <t>Precast Concrete (PCB)</t>
  </si>
  <si>
    <t>Anchored/Freestanding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</si>
</sst>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2"/>
      <color rgb="FF1F1F1F"/>
      <name val="Garamond"/>
      <family val="1"/>
    </font>
    <font>
      <sz val="12"/>
      <color rgb="FF000000"/>
      <name val="Garamond"/>
      <family val="1"/>
    </font>
    <font>
      <sz val="12"/>
      <color rgb="FF1F1F1F"/>
      <name val="Garamond"/>
      <family val="1"/>
    </font>
    <font>
      <sz val="12"/>
      <color theme="1"/>
      <name val="Garamond"/>
      <family val="1"/>
    </font>
    <font>
      <i/>
      <sz val="12"/>
      <color rgb="FF1F1F1F"/>
      <name val="Garamond"/>
      <family val="1"/>
    </font>
    <font>
      <u/>
      <sz val="12"/>
      <color rgb="FF0000FF"/>
      <name val="Garamond"/>
      <family val="1"/>
    </font>
    <font>
      <sz val="8"/>
      <name val="Arial"/>
      <scheme val="minor"/>
    </font>
    <font>
      <u/>
      <sz val="10"/>
      <color theme="10"/>
      <name val="Arial"/>
      <scheme val="minor"/>
    </font>
    <font>
      <sz val="12"/>
      <color rgb="FFFF0000"/>
      <name val="Garamond"/>
      <family val="1"/>
    </font>
    <font>
      <sz val="10"/>
      <color rgb="FF000000"/>
      <name val="Arial"/>
      <family val="2"/>
      <scheme val="minor"/>
    </font>
    <font>
      <sz val="11"/>
      <color rgb="FF000000"/>
      <name val="Garamond"/>
      <family val="1"/>
    </font>
    <font>
      <u/>
      <sz val="11"/>
      <color theme="10"/>
      <name val="Garamond"/>
      <family val="1"/>
    </font>
    <font>
      <b/>
      <sz val="11"/>
      <color rgb="FF000000"/>
      <name val="Garamond"/>
      <family val="1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1" applyAlignment="1">
      <alignment wrapText="1"/>
    </xf>
    <xf numFmtId="0" fontId="9" fillId="0" borderId="1" xfId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6" xfId="1" applyBorder="1" applyAlignment="1">
      <alignment horizontal="center" vertical="center" wrapText="1"/>
    </xf>
    <xf numFmtId="0" fontId="9" fillId="0" borderId="5" xfId="1" applyBorder="1" applyAlignment="1">
      <alignment horizontal="center" wrapText="1"/>
    </xf>
    <xf numFmtId="0" fontId="9" fillId="0" borderId="0" xfId="1" applyBorder="1" applyAlignment="1">
      <alignment horizontal="center" wrapText="1"/>
    </xf>
    <xf numFmtId="0" fontId="9" fillId="0" borderId="0" xfId="1" applyBorder="1" applyAlignment="1">
      <alignment wrapText="1"/>
    </xf>
    <xf numFmtId="0" fontId="9" fillId="0" borderId="7" xfId="1" applyBorder="1" applyAlignment="1">
      <alignment horizontal="center" vertical="center" wrapText="1"/>
    </xf>
    <xf numFmtId="0" fontId="9" fillId="0" borderId="8" xfId="1" applyBorder="1" applyAlignment="1">
      <alignment horizontal="center" vertical="center" wrapText="1"/>
    </xf>
    <xf numFmtId="0" fontId="9" fillId="0" borderId="1" xfId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9" fontId="12" fillId="0" borderId="1" xfId="0" applyNumberFormat="1" applyFont="1" applyBorder="1" applyAlignment="1">
      <alignment horizontal="left" vertical="top" wrapText="1"/>
    </xf>
    <xf numFmtId="0" fontId="11" fillId="0" borderId="11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9" fontId="11" fillId="0" borderId="9" xfId="0" applyNumberFormat="1" applyFont="1" applyBorder="1" applyAlignment="1">
      <alignment horizontal="left" vertical="top" wrapText="1"/>
    </xf>
    <xf numFmtId="0" fontId="9" fillId="0" borderId="9" xfId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9" fillId="0" borderId="0" xfId="1"/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9" fillId="0" borderId="2" xfId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  <xf numFmtId="0" fontId="9" fillId="0" borderId="14" xfId="1" applyBorder="1" applyAlignment="1">
      <alignment horizontal="center" vertical="center" wrapText="1"/>
    </xf>
    <xf numFmtId="0" fontId="9" fillId="0" borderId="16" xfId="1" applyBorder="1" applyAlignment="1">
      <alignment horizontal="center" vertical="center" wrapText="1"/>
    </xf>
    <xf numFmtId="0" fontId="9" fillId="0" borderId="4" xfId="1" applyBorder="1" applyAlignment="1">
      <alignment horizontal="center" vertical="center" wrapText="1"/>
    </xf>
    <xf numFmtId="0" fontId="9" fillId="0" borderId="14" xfId="1" applyBorder="1" applyAlignment="1">
      <alignment horizontal="center" wrapText="1"/>
    </xf>
    <xf numFmtId="0" fontId="9" fillId="0" borderId="16" xfId="1" applyBorder="1" applyAlignment="1">
      <alignment horizontal="center" wrapText="1"/>
    </xf>
    <xf numFmtId="0" fontId="9" fillId="0" borderId="15" xfId="1" applyBorder="1" applyAlignment="1">
      <alignment horizontal="center" vertical="center" wrapText="1"/>
    </xf>
    <xf numFmtId="0" fontId="9" fillId="0" borderId="15" xfId="1" applyBorder="1" applyAlignment="1">
      <alignment wrapText="1"/>
    </xf>
    <xf numFmtId="0" fontId="9" fillId="0" borderId="16" xfId="1" applyBorder="1" applyAlignment="1">
      <alignment wrapText="1"/>
    </xf>
    <xf numFmtId="0" fontId="9" fillId="0" borderId="17" xfId="1" applyBorder="1" applyAlignment="1">
      <alignment horizontal="center" vertical="center" wrapText="1"/>
    </xf>
    <xf numFmtId="0" fontId="9" fillId="0" borderId="5" xfId="1" applyBorder="1" applyAlignment="1">
      <alignment horizontal="center" vertical="center" wrapText="1"/>
    </xf>
    <xf numFmtId="0" fontId="9" fillId="0" borderId="18" xfId="1" applyBorder="1" applyAlignment="1">
      <alignment horizontal="center" vertical="center" wrapText="1"/>
    </xf>
    <xf numFmtId="0" fontId="9" fillId="0" borderId="18" xfId="1" applyBorder="1" applyAlignment="1">
      <alignment horizontal="center" wrapText="1"/>
    </xf>
    <xf numFmtId="0" fontId="15" fillId="0" borderId="7" xfId="1" applyFont="1" applyBorder="1" applyAlignment="1">
      <alignment horizontal="center" vertical="center" wrapText="1"/>
    </xf>
    <xf numFmtId="0" fontId="9" fillId="0" borderId="0" xfId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3" fillId="0" borderId="2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left" vertical="top" wrapText="1"/>
    </xf>
    <xf numFmtId="0" fontId="13" fillId="0" borderId="3" xfId="1" applyFont="1" applyBorder="1" applyAlignment="1">
      <alignment horizontal="left" vertical="top" wrapText="1"/>
    </xf>
    <xf numFmtId="0" fontId="9" fillId="0" borderId="2" xfId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3" fillId="0" borderId="1" xfId="1" applyFont="1" applyBorder="1" applyAlignment="1">
      <alignment horizontal="left" vertical="top" wrapText="1"/>
    </xf>
    <xf numFmtId="0" fontId="9" fillId="0" borderId="1" xfId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9" fillId="0" borderId="10" xfId="1" applyBorder="1" applyAlignment="1">
      <alignment horizontal="left" vertical="top" wrapText="1"/>
    </xf>
    <xf numFmtId="0" fontId="9" fillId="0" borderId="11" xfId="1" applyBorder="1" applyAlignment="1">
      <alignment horizontal="left" vertical="top" wrapText="1"/>
    </xf>
    <xf numFmtId="9" fontId="11" fillId="0" borderId="10" xfId="0" applyNumberFormat="1" applyFont="1" applyBorder="1" applyAlignment="1">
      <alignment horizontal="left" vertical="top" wrapText="1"/>
    </xf>
    <xf numFmtId="9" fontId="11" fillId="0" borderId="11" xfId="0" applyNumberFormat="1" applyFont="1" applyBorder="1" applyAlignment="1">
      <alignment horizontal="left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9" fontId="11" fillId="0" borderId="10" xfId="0" applyNumberFormat="1" applyFont="1" applyBorder="1" applyAlignment="1">
      <alignment horizontal="center" vertical="top" wrapText="1"/>
    </xf>
    <xf numFmtId="9" fontId="11" fillId="0" borderId="11" xfId="0" applyNumberFormat="1" applyFont="1" applyBorder="1" applyAlignment="1">
      <alignment horizontal="center" vertical="top" wrapText="1"/>
    </xf>
    <xf numFmtId="0" fontId="9" fillId="0" borderId="10" xfId="1" applyBorder="1" applyAlignment="1">
      <alignment horizontal="center" vertical="top" wrapText="1"/>
    </xf>
    <xf numFmtId="0" fontId="9" fillId="0" borderId="11" xfId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9" fillId="0" borderId="2" xfId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14" xfId="1" applyBorder="1" applyAlignment="1">
      <alignment horizontal="center" vertical="center" wrapText="1"/>
    </xf>
    <xf numFmtId="0" fontId="9" fillId="0" borderId="15" xfId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9" fillId="0" borderId="1" xfId="1" applyBorder="1" applyAlignment="1">
      <alignment horizontal="center" wrapText="1"/>
    </xf>
    <xf numFmtId="0" fontId="9" fillId="0" borderId="4" xfId="1" applyBorder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4" xfId="1" applyBorder="1" applyAlignment="1">
      <alignment horizontal="center" wrapText="1"/>
    </xf>
    <xf numFmtId="0" fontId="9" fillId="0" borderId="16" xfId="1" applyBorder="1" applyAlignment="1">
      <alignment horizontal="center" wrapText="1"/>
    </xf>
    <xf numFmtId="0" fontId="9" fillId="0" borderId="15" xfId="1" applyBorder="1" applyAlignment="1">
      <alignment horizontal="center" wrapText="1"/>
    </xf>
    <xf numFmtId="0" fontId="15" fillId="0" borderId="2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7" xfId="1" applyBorder="1" applyAlignment="1">
      <alignment horizontal="center" vertical="center" wrapText="1"/>
    </xf>
    <xf numFmtId="0" fontId="9" fillId="0" borderId="8" xfId="1" applyBorder="1" applyAlignment="1">
      <alignment horizontal="center" vertical="center" wrapText="1"/>
    </xf>
    <xf numFmtId="0" fontId="9" fillId="0" borderId="16" xfId="1" applyBorder="1" applyAlignment="1">
      <alignment horizontal="center" vertical="center" wrapText="1"/>
    </xf>
    <xf numFmtId="0" fontId="9" fillId="0" borderId="17" xfId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ustroads.gov.au/__data/assets/pdf_file/0032/388283/201120-TCU-ARMORZONE-MASH-Water-Filled-Barrier-Temporary.pdf" TargetMode="External"/><Relationship Id="rId21" Type="http://schemas.openxmlformats.org/officeDocument/2006/relationships/hyperlink" Target="https://austroads.gov.au/__data/assets/pdf_file/0029/592643/230901-TCU-SAFEZONE-MDS-Safety-Barrier-Permanent-and-Temporary.pdf" TargetMode="External"/><Relationship Id="rId42" Type="http://schemas.openxmlformats.org/officeDocument/2006/relationships/hyperlink" Target="https://austroads.gov.au/__data/assets/pdf_file/0027/463455/211201-TCU-BG800-Safety-Barrier-Temporary.pdf" TargetMode="External"/><Relationship Id="rId47" Type="http://schemas.openxmlformats.org/officeDocument/2006/relationships/hyperlink" Target="https://austroads.gov.au/__data/assets/pdf_file/0028/463429/211201-TCU-DEFENDER-70-Safety-Barrier-Temporary.pdf" TargetMode="External"/><Relationship Id="rId63" Type="http://schemas.openxmlformats.org/officeDocument/2006/relationships/hyperlink" Target="https://austroads.gov.au/__data/assets/pdf_file/0015/515130/220902-TCU-Rebloc-80SAH_12-Safety-Barrier.pdf" TargetMode="External"/><Relationship Id="rId68" Type="http://schemas.openxmlformats.org/officeDocument/2006/relationships/hyperlink" Target="file:///G:\:b:\g\personal\sanju_cromptonconcepts_com_au\IQBrefS5WpFUQp3ZChsaGfV0ARIGo-24pC9FegEhfTI9qXk%3fe=Bo5Jmz" TargetMode="External"/><Relationship Id="rId84" Type="http://schemas.openxmlformats.org/officeDocument/2006/relationships/hyperlink" Target="file:///G:\:b:\g\personal\sanju_cromptonconcepts_com_au\IQDPaYppRQs-Q4N6w4ToxD0AAUmqiBVFMe2rXW44JnqyAQ0%3fe=VzoC14" TargetMode="External"/><Relationship Id="rId89" Type="http://schemas.openxmlformats.org/officeDocument/2006/relationships/hyperlink" Target="file:///G:\:b:\g\personal\sanju_cromptonconcepts_com_au\IQB0uDBf3CfbSq_pKXPdKmxGAe_Vr_sFAt7teAATep4EBXs%3fe=s3AcBT" TargetMode="External"/><Relationship Id="rId16" Type="http://schemas.openxmlformats.org/officeDocument/2006/relationships/hyperlink" Target="https://austroads.gov.au/__data/assets/pdf_file/0022/444307/210903-TCU-DEFENDER-100-LDS-Safety-Barrier-Temporary.pdf" TargetMode="External"/><Relationship Id="rId11" Type="http://schemas.openxmlformats.org/officeDocument/2006/relationships/hyperlink" Target="https://austroads.gov.au/__data/assets/pdf_file/0024/463452/211201-TCU-BG800-LDS-Safety-Barrier-Temporary.pdf" TargetMode="External"/><Relationship Id="rId32" Type="http://schemas.openxmlformats.org/officeDocument/2006/relationships/hyperlink" Target="https://austroads.gov.au/__data/assets/pdf_file/0027/481626/220322-TCU-Rebloc-80SAH_12_8B-Safety-Barrier.pdf" TargetMode="External"/><Relationship Id="rId37" Type="http://schemas.openxmlformats.org/officeDocument/2006/relationships/hyperlink" Target="https://austroads.gov.au/__data/assets/pdf_file/0025/480508/220314-TCU-3.6-M-JJ-Hooks-Safety-Barrier-Temporary.pdf" TargetMode="External"/><Relationship Id="rId53" Type="http://schemas.openxmlformats.org/officeDocument/2006/relationships/hyperlink" Target="https://austroads.gov.au/__data/assets/pdf_file/0029/592643/230901-TCU-SAFEZONE-MDS-Safety-Barrier-Permanent-and-Temporary.pdf" TargetMode="External"/><Relationship Id="rId58" Type="http://schemas.openxmlformats.org/officeDocument/2006/relationships/hyperlink" Target="https://austroads.gov.au/__data/assets/pdf_file/0032/388283/201120-TCU-ARMORZONE-MASH-Water-Filled-Barrier-Temporary.pdf" TargetMode="External"/><Relationship Id="rId74" Type="http://schemas.openxmlformats.org/officeDocument/2006/relationships/hyperlink" Target="file:///G:\:b:\g\personal\sanju_cromptonconcepts_com_au\IQAE65BL7aOMQIdrdH-m001nAZwtMqzvsg2iA1lMZMExwOw%3fe=Yf6VGs" TargetMode="External"/><Relationship Id="rId79" Type="http://schemas.openxmlformats.org/officeDocument/2006/relationships/hyperlink" Target="file:///G:\:b:\g\personal\sanju_cromptonconcepts_com_au\IQAOl0nnSYxXRq8E8wt1l8r-ATNOWUMIkM2myzLODy4EkXY%3fe=clmuKO" TargetMode="External"/><Relationship Id="rId5" Type="http://schemas.openxmlformats.org/officeDocument/2006/relationships/hyperlink" Target="https://austroads.gov.au/__data/assets/pdf_file/0026/480509/220314-TCU-JJ-HOOKS-MASH-Safety-Barrier-Temporary.pdf" TargetMode="External"/><Relationship Id="rId90" Type="http://schemas.openxmlformats.org/officeDocument/2006/relationships/hyperlink" Target="file:///G:\:b:\g\personal\sanju_cromptonconcepts_com_au\IQBo1kWy6NGIRIqpHr0YuBNmATrUAk05BLBaO894fcDOhOs%3fe=w4E3p7" TargetMode="External"/><Relationship Id="rId95" Type="http://schemas.openxmlformats.org/officeDocument/2006/relationships/hyperlink" Target="file:///G:\:i:\g\personal\sanju_cromptonconcepts_com_au\IQDB3nHWBlTIT6IczRFGLHBsAQsQh4aUQgZKefFvFc3Mh9E%3fe=Aci4p5" TargetMode="External"/><Relationship Id="rId22" Type="http://schemas.openxmlformats.org/officeDocument/2006/relationships/hyperlink" Target="https://austroads.gov.au/__data/assets/pdf_file/0030/598620/230925-TCU-IRONMAN-HYBRID-Safety-Barrier-Temporary.pdf" TargetMode="External"/><Relationship Id="rId27" Type="http://schemas.openxmlformats.org/officeDocument/2006/relationships/hyperlink" Target="https://austroads.gov.au/__data/assets/pdf_file/0027/388323/201120-TCU-RICOCHET-Water-Filled-Barrier-Temporary.pdf" TargetMode="External"/><Relationship Id="rId43" Type="http://schemas.openxmlformats.org/officeDocument/2006/relationships/hyperlink" Target="https://austroads.gov.au/__data/assets/pdf_file/0031/463459/211201-TCU-BG800-MDS-Safety-Barrier-Temporary.pdf" TargetMode="External"/><Relationship Id="rId48" Type="http://schemas.openxmlformats.org/officeDocument/2006/relationships/hyperlink" Target="https://austroads.gov.au/__data/assets/pdf_file/0022/444307/210903-TCU-DEFENDER-100-LDS-Safety-Barrier-Temporary.pdf" TargetMode="External"/><Relationship Id="rId64" Type="http://schemas.openxmlformats.org/officeDocument/2006/relationships/hyperlink" Target="https://austroads.gov.au/__data/assets/pdf_file/0027/481626/220322-TCU-Rebloc-80SAH_12_8B-Safety-Barrier.pdf" TargetMode="External"/><Relationship Id="rId69" Type="http://schemas.openxmlformats.org/officeDocument/2006/relationships/hyperlink" Target="file:///G:\:b:\g\personal\sanju_cromptonconcepts_com_au\IQDvXCatzA8nTpYkYrZXiUwzAbDQ2wciURAIYW5_c2VucFA%3fe=hrndJM" TargetMode="External"/><Relationship Id="rId80" Type="http://schemas.openxmlformats.org/officeDocument/2006/relationships/hyperlink" Target="file:///G:\:b:\g\personal\sanju_cromptonconcepts_com_au\IQDoNyGUN-i6RK2LvQf-Oqp6ASeuDNKZYJ2k762fpSw-0-U%3fe=ao0Wdf" TargetMode="External"/><Relationship Id="rId85" Type="http://schemas.openxmlformats.org/officeDocument/2006/relationships/hyperlink" Target="file:///G:\:b:\g\personal\sanju_cromptonconcepts_com_au\IQCCjrIVJnSPTrg6Xeh8qycbAYvj07xSgU9XVXdUXZk6zW4%3fe=qA8PLF" TargetMode="External"/><Relationship Id="rId12" Type="http://schemas.openxmlformats.org/officeDocument/2006/relationships/hyperlink" Target="https://austroads.gov.au/__data/assets/pdf_file/0024/516552/220908-TCU-HIGHWAYGUARD-Safety-Barrier-Temporary.pdf" TargetMode="External"/><Relationship Id="rId17" Type="http://schemas.openxmlformats.org/officeDocument/2006/relationships/hyperlink" Target="https://austroads.gov.au/__data/assets/pdf_file/0021/444306/210903-TCU-DEFENDER-100-HC-Safety-Barrier-Temporary.pdf" TargetMode="External"/><Relationship Id="rId25" Type="http://schemas.openxmlformats.org/officeDocument/2006/relationships/hyperlink" Target="https://austroads.gov.au/__data/assets/pdf_file/0021/463440/211201-TCU-HV2-Safety-Barrier-Temporary.pdf" TargetMode="External"/><Relationship Id="rId33" Type="http://schemas.openxmlformats.org/officeDocument/2006/relationships/hyperlink" Target="https://austroads.gov.au/__data/assets/pdf_file/0029/533576/221201-TCU-Rebloc-80SAH_4-Safety-Barrier-Temporary.pdf" TargetMode="External"/><Relationship Id="rId38" Type="http://schemas.openxmlformats.org/officeDocument/2006/relationships/hyperlink" Target="https://austroads.gov.au/__data/assets/pdf_file/0019/570520/230601-TCU-T-LOK-MASH-F-TYPE-Concrete-Safety-Barrier-Temporary.pdf" TargetMode="External"/><Relationship Id="rId46" Type="http://schemas.openxmlformats.org/officeDocument/2006/relationships/hyperlink" Target="https://austroads.gov.au/__data/assets/pdf_file/0027/570528/230601-TCU-HIGHWAYGUARD-MDS-Safety-Barrier-Temporary.pdf" TargetMode="External"/><Relationship Id="rId59" Type="http://schemas.openxmlformats.org/officeDocument/2006/relationships/hyperlink" Target="https://austroads.gov.au/__data/assets/pdf_file/0027/388323/201120-TCU-RICOCHET-Water-Filled-Barrier-Temporary.pdf" TargetMode="External"/><Relationship Id="rId67" Type="http://schemas.openxmlformats.org/officeDocument/2006/relationships/hyperlink" Target="file:///G:\:b:\g\personal\sanju_cromptonconcepts_com_au\IQDX7trjrgYoSJsV4jJPnx4PAbdOzJasBl5HFtl9VxgNDE4%3fe=G5cE0F" TargetMode="External"/><Relationship Id="rId20" Type="http://schemas.openxmlformats.org/officeDocument/2006/relationships/hyperlink" Target="https://austroads.gov.au/__data/assets/pdf_file/0013/633100/240307-TCU-SafeZone-LDS-Safety-Barrier-Permanent-and-Temporary.pdf" TargetMode="External"/><Relationship Id="rId41" Type="http://schemas.openxmlformats.org/officeDocument/2006/relationships/hyperlink" Target="https://austroads.gov.au/__data/assets/pdf_file/0024/463452/211201-TCU-BG800-LDS-Safety-Barrier-Temporary.pdf" TargetMode="External"/><Relationship Id="rId54" Type="http://schemas.openxmlformats.org/officeDocument/2006/relationships/hyperlink" Target="https://austroads.gov.au/__data/assets/pdf_file/0030/598620/230925-TCU-IRONMAN-HYBRID-Safety-Barrier-Temporary.pdf" TargetMode="External"/><Relationship Id="rId62" Type="http://schemas.openxmlformats.org/officeDocument/2006/relationships/hyperlink" Target="https://austroads.gov.au/__data/assets/pdf_file/0025/388321/201120-TCU-MBT-1-Safety-Barrier-Temporary.pdf" TargetMode="External"/><Relationship Id="rId70" Type="http://schemas.openxmlformats.org/officeDocument/2006/relationships/hyperlink" Target="file:///G:\:b:\g\personal\sanju_cromptonconcepts_com_au\IQBx_780JrG9Q7IgN8KWbkYbAfx86uYATVT3CJnifxiniXg%3fe=JTjSFr" TargetMode="External"/><Relationship Id="rId75" Type="http://schemas.openxmlformats.org/officeDocument/2006/relationships/hyperlink" Target="file:///G:\:b:\g\personal\sanju_cromptonconcepts_com_au\IQA_UG-EDewmQ7DALi7YAtf8AWoPx6wojO3P2Yz_gDj27AY%3fe=BUbMke" TargetMode="External"/><Relationship Id="rId83" Type="http://schemas.openxmlformats.org/officeDocument/2006/relationships/hyperlink" Target="file:///G:\:b:\g\personal\sanju_cromptonconcepts_com_au\IQApkEcGBtuZQpO8utTHqagEAZ-CafBa7wSggd3MVh9vVKY%3fe=cepeMd" TargetMode="External"/><Relationship Id="rId88" Type="http://schemas.openxmlformats.org/officeDocument/2006/relationships/hyperlink" Target="file:///G:\:b:\g\personal\sanju_cromptonconcepts_com_au\IQAUlEQKQuqoRLf5dV8UKo3mASE0hqnt51jV83jCgKmOW48%3fe=ovOaTx" TargetMode="External"/><Relationship Id="rId91" Type="http://schemas.openxmlformats.org/officeDocument/2006/relationships/hyperlink" Target="file:///G:\:b:\g\personal\sanju_cromptonconcepts_com_au\IQAcpNHmM849T70d96I491reAb1vlu6zPHpufYYmS4tPe_k%3fe=EfYwb3" TargetMode="External"/><Relationship Id="rId96" Type="http://schemas.openxmlformats.org/officeDocument/2006/relationships/hyperlink" Target="file:///G:\:i:\g\personal\sanju_cromptonconcepts_com_au\IQBGtPXQuQdgRrL70GzZkE3AAeo3r2-aR2ZJysdBIpHnO70%3fe=8fsU5m" TargetMode="External"/><Relationship Id="rId1" Type="http://schemas.openxmlformats.org/officeDocument/2006/relationships/hyperlink" Target="https://austroads.gov.au/__data/assets/pdf_file/0018/433206/210720-TCU-DB80-K150-Safety-Barrier-Temporary.pdf" TargetMode="External"/><Relationship Id="rId6" Type="http://schemas.openxmlformats.org/officeDocument/2006/relationships/hyperlink" Target="https://austroads.gov.au/__data/assets/pdf_file/0019/570520/230601-TCU-T-LOK-MASH-F-TYPE-Concrete-Safety-Barrier-Temporary.pdf" TargetMode="External"/><Relationship Id="rId15" Type="http://schemas.openxmlformats.org/officeDocument/2006/relationships/hyperlink" Target="https://austroads.gov.au/__data/assets/pdf_file/0028/463429/211201-TCU-DEFENDER-70-Safety-Barrier-Temporary.pdf" TargetMode="External"/><Relationship Id="rId23" Type="http://schemas.openxmlformats.org/officeDocument/2006/relationships/hyperlink" Target="https://austroads.gov.au/__data/assets/pdf_file/0032/464981/211208-TCU-ZONEGUARD-Safety-Barrier-Temporary.pdf" TargetMode="External"/><Relationship Id="rId28" Type="http://schemas.openxmlformats.org/officeDocument/2006/relationships/hyperlink" Target="https://austroads.gov.au/__data/assets/pdf_file/0024/388320/201120-TCU-LO-RO-Water-Cable-Barrier-Temporary.pdf" TargetMode="External"/><Relationship Id="rId36" Type="http://schemas.openxmlformats.org/officeDocument/2006/relationships/hyperlink" Target="https://austroads.gov.au/__data/assets/pdf_file/0026/480509/220314-TCU-JJ-HOOKS-MASH-Safety-Barrier-Temporary.pdf" TargetMode="External"/><Relationship Id="rId49" Type="http://schemas.openxmlformats.org/officeDocument/2006/relationships/hyperlink" Target="https://austroads.gov.au/__data/assets/pdf_file/0021/444306/210903-TCU-DEFENDER-100-HC-Safety-Barrier-Temporary.pdf" TargetMode="External"/><Relationship Id="rId57" Type="http://schemas.openxmlformats.org/officeDocument/2006/relationships/hyperlink" Target="https://austroads.gov.au/__data/assets/pdf_file/0021/463440/211201-TCU-HV2-Safety-Barrier-Temporary.pdf" TargetMode="External"/><Relationship Id="rId10" Type="http://schemas.openxmlformats.org/officeDocument/2006/relationships/hyperlink" Target="https://austroads.gov.au/__data/assets/pdf_file/0031/463459/211201-TCU-BG800-MDS-Safety-Barrier-Temporary.pdf" TargetMode="External"/><Relationship Id="rId31" Type="http://schemas.openxmlformats.org/officeDocument/2006/relationships/hyperlink" Target="https://austroads.gov.au/__data/assets/pdf_file/0015/515130/220902-TCU-Rebloc-80SAH_12-Safety-Barrier.pdf" TargetMode="External"/><Relationship Id="rId44" Type="http://schemas.openxmlformats.org/officeDocument/2006/relationships/hyperlink" Target="https://austroads.gov.au/__data/assets/pdf_file/0024/516552/220908-TCU-HIGHWAYGUARD-Safety-Barrier-Temporary.pdf" TargetMode="External"/><Relationship Id="rId52" Type="http://schemas.openxmlformats.org/officeDocument/2006/relationships/hyperlink" Target="https://austroads.gov.au/__data/assets/pdf_file/0029/592643/230901-TCU-SAFEZONE-MDS-Safety-Barrier-Permanent-and-Temporary.pdf" TargetMode="External"/><Relationship Id="rId60" Type="http://schemas.openxmlformats.org/officeDocument/2006/relationships/hyperlink" Target="https://austroads.gov.au/__data/assets/pdf_file/0024/388320/201120-TCU-LO-RO-Water-Cable-Barrier-Temporary.pdf" TargetMode="External"/><Relationship Id="rId65" Type="http://schemas.openxmlformats.org/officeDocument/2006/relationships/hyperlink" Target="https://austroads.gov.au/__data/assets/pdf_file/0029/533576/221201-TCU-Rebloc-80SAH_4-Safety-Barrier-Temporary.pdf" TargetMode="External"/><Relationship Id="rId73" Type="http://schemas.openxmlformats.org/officeDocument/2006/relationships/hyperlink" Target="file:///G:\:b:\g\personal\sanju_cromptonconcepts_com_au\IQC21N5hLheYQ4TgR-0PH1q3AX1op4gn9ItJEd1tK4-l0x4%3fe=mdSbb7" TargetMode="External"/><Relationship Id="rId78" Type="http://schemas.openxmlformats.org/officeDocument/2006/relationships/hyperlink" Target="file:///G:\:b:\g\personal\sanju_cromptonconcepts_com_au\IQDt6nwa8K77T53ggK7kWT7rAUWTQjuqqkRmjr1L0xuaKKM%3fe=1wQ4fx" TargetMode="External"/><Relationship Id="rId81" Type="http://schemas.openxmlformats.org/officeDocument/2006/relationships/hyperlink" Target="file:///G:\:b:\g\personal\sanju_cromptonconcepts_com_au\IQCY9H9p7Y-nRZkKtiGYrItzAaaJVrYK7ghOxEX1j5HA9NE%3fe=LGAV8i" TargetMode="External"/><Relationship Id="rId86" Type="http://schemas.openxmlformats.org/officeDocument/2006/relationships/hyperlink" Target="file:///G:\:b:\g\personal\sanju_cromptonconcepts_com_au\IQCYL7MVSYYhSqorgKdBplmbAaiiOw_Zu7OimSb8PN-uS3s%3fe=dbWrLR" TargetMode="External"/><Relationship Id="rId94" Type="http://schemas.openxmlformats.org/officeDocument/2006/relationships/hyperlink" Target="https://austroads.gov.au/__data/assets/pdf_file/0034/467467/211220-TCU-DB80-T150-Safety-Barrier-Temporary.pdf" TargetMode="External"/><Relationship Id="rId99" Type="http://schemas.openxmlformats.org/officeDocument/2006/relationships/hyperlink" Target="file:///G:\:i:\g\personal\sanju_cromptonconcepts_com_au\IQCrkOkJ7Gs2SLRCwpYJycVqAfWgW5ik6QxWtvxS439m-SQ%3fe=A7JTqJ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austroads.gov.au/__data/assets/pdf_file/0025/480508/220314-TCU-3.6-M-JJ-Hooks-Safety-Barrier-Temporary.pdf" TargetMode="External"/><Relationship Id="rId9" Type="http://schemas.openxmlformats.org/officeDocument/2006/relationships/hyperlink" Target="https://austroads.gov.au/__data/assets/pdf_file/0027/463455/211201-TCU-BG800-Safety-Barrier-Temporary.pdf" TargetMode="External"/><Relationship Id="rId13" Type="http://schemas.openxmlformats.org/officeDocument/2006/relationships/hyperlink" Target="https://austroads.gov.au/__data/assets/pdf_file/0029/463448/211201-TCU-HIGHWAYGUARD-LDS-Safety-Barrier-Temporary.pdf" TargetMode="External"/><Relationship Id="rId18" Type="http://schemas.openxmlformats.org/officeDocument/2006/relationships/hyperlink" Target="https://austroads.gov.au/__data/assets/pdf_file/0022/463432/211201-TCU-DEFENDER-100-FS-Safety-Barrier-Temporary.pdf" TargetMode="External"/><Relationship Id="rId39" Type="http://schemas.openxmlformats.org/officeDocument/2006/relationships/hyperlink" Target="https://austroads.gov.au/__data/assets/pdf_file/0020/570521/230601-TCU-T-LOK-Rubber-Safety-Barrier-Temporary.pdf" TargetMode="External"/><Relationship Id="rId34" Type="http://schemas.openxmlformats.org/officeDocument/2006/relationships/hyperlink" Target="https://austroads.gov.au/__data/assets/pdf_file/0043/498778/220616-TCU-Rebloc-120FA_6_FS-Safety-Barrier.pdf" TargetMode="External"/><Relationship Id="rId50" Type="http://schemas.openxmlformats.org/officeDocument/2006/relationships/hyperlink" Target="https://austroads.gov.au/__data/assets/pdf_file/0022/463432/211201-TCU-DEFENDER-100-FS-Safety-Barrier-Temporary.pdf" TargetMode="External"/><Relationship Id="rId55" Type="http://schemas.openxmlformats.org/officeDocument/2006/relationships/hyperlink" Target="https://austroads.gov.au/__data/assets/pdf_file/0032/464981/211208-TCU-ZONEGUARD-Safety-Barrier-Temporary.pdf" TargetMode="External"/><Relationship Id="rId76" Type="http://schemas.openxmlformats.org/officeDocument/2006/relationships/hyperlink" Target="file:///G:\:b:\g\personal\sanju_cromptonconcepts_com_au\IQDAh9QlCy3rS6xmAFLvuaJTAZPFCNVu_o5R1ko0NA6B390%3fe=7lggQa" TargetMode="External"/><Relationship Id="rId97" Type="http://schemas.openxmlformats.org/officeDocument/2006/relationships/hyperlink" Target="file:///G:\:i:\g\personal\sanju_cromptonconcepts_com_au\IQBGtPXQuQdgRrL70GzZkE3AAeo3r2-aR2ZJysdBIpHnO70%3fe=hSkvqo" TargetMode="External"/><Relationship Id="rId7" Type="http://schemas.openxmlformats.org/officeDocument/2006/relationships/hyperlink" Target="https://austroads.gov.au/__data/assets/pdf_file/0020/570521/230601-TCU-T-LOK-Rubber-Safety-Barrier-Temporary.pdf" TargetMode="External"/><Relationship Id="rId71" Type="http://schemas.openxmlformats.org/officeDocument/2006/relationships/hyperlink" Target="file:///G:\:b:\g\personal\sanju_cromptonconcepts_com_au\IQDSMh97B_yDQq8gWN6yM8tnAdTb3GbocCIUEYnerwdlTw8%3fe=wh8Lh2" TargetMode="External"/><Relationship Id="rId92" Type="http://schemas.openxmlformats.org/officeDocument/2006/relationships/hyperlink" Target="file:///G:\:b:\g\personal\sanju_cromptonconcepts_com_au\IQBd_vnDEaZrQaldcLgSRgjJASTTZxhPlQiMwRa8t0ZkiuU%3fe=U6iReN" TargetMode="External"/><Relationship Id="rId2" Type="http://schemas.openxmlformats.org/officeDocument/2006/relationships/hyperlink" Target="https://austroads.gov.au/__data/assets/pdf_file/0034/467467/211220-TCU-DB80-T150-Safety-Barrier-Temporary.pdf" TargetMode="External"/><Relationship Id="rId29" Type="http://schemas.openxmlformats.org/officeDocument/2006/relationships/hyperlink" Target="https://austroads.gov.au/__data/assets/pdf_file/0030/388326/201120-TCU-SHIELD-I-Water-Filled-Barrier-System-Temporary.pdf" TargetMode="External"/><Relationship Id="rId24" Type="http://schemas.openxmlformats.org/officeDocument/2006/relationships/hyperlink" Target="https://austroads.gov.au/__data/assets/pdf_file/0032/406985/210304-TCU-ZONEGUARD-MDS-Safety-Barrier-Temporary.pdf" TargetMode="External"/><Relationship Id="rId40" Type="http://schemas.openxmlformats.org/officeDocument/2006/relationships/hyperlink" Target="https://austroads.gov.au/__data/assets/pdf_file/0024/463434/211201-TCU-PIN-and-LOOP-Barrier-Temporary.pdf" TargetMode="External"/><Relationship Id="rId45" Type="http://schemas.openxmlformats.org/officeDocument/2006/relationships/hyperlink" Target="https://austroads.gov.au/__data/assets/pdf_file/0029/463448/211201-TCU-HIGHWAYGUARD-LDS-Safety-Barrier-Temporary.pdf" TargetMode="External"/><Relationship Id="rId66" Type="http://schemas.openxmlformats.org/officeDocument/2006/relationships/hyperlink" Target="https://austroads.gov.au/__data/assets/pdf_file/0043/498778/220616-TCU-Rebloc-120FA_6_FS-Safety-Barrier.pdf" TargetMode="External"/><Relationship Id="rId87" Type="http://schemas.openxmlformats.org/officeDocument/2006/relationships/hyperlink" Target="file:///G:\:b:\g\personal\sanju_cromptonconcepts_com_au\IQDBHRe_uqT1SaTUiW5-8TXgAUY3Cd-G3-033GQQYHAKgfM%3fe=YdxyXc" TargetMode="External"/><Relationship Id="rId61" Type="http://schemas.openxmlformats.org/officeDocument/2006/relationships/hyperlink" Target="https://austroads.gov.au/__data/assets/pdf_file/0030/388326/201120-TCU-SHIELD-I-Water-Filled-Barrier-System-Temporary.pdf" TargetMode="External"/><Relationship Id="rId82" Type="http://schemas.openxmlformats.org/officeDocument/2006/relationships/hyperlink" Target="file:///G:\:b:\g\personal\sanju_cromptonconcepts_com_au\IQAUrDclLO-OS5y3Q_0KsCaSAe7DXAZufGpgEdJ6uTA_PGw%3fe=RkCLwe" TargetMode="External"/><Relationship Id="rId19" Type="http://schemas.openxmlformats.org/officeDocument/2006/relationships/hyperlink" Target="https://austroads.gov.au/__data/assets/pdf_file/0025/604807/231023-TCU-SAFEZONE-Safety-Barrier-Temporary.pdf" TargetMode="External"/><Relationship Id="rId14" Type="http://schemas.openxmlformats.org/officeDocument/2006/relationships/hyperlink" Target="https://austroads.gov.au/__data/assets/pdf_file/0027/570528/230601-TCU-HIGHWAYGUARD-MDS-Safety-Barrier-Temporary.pdf" TargetMode="External"/><Relationship Id="rId30" Type="http://schemas.openxmlformats.org/officeDocument/2006/relationships/hyperlink" Target="https://austroads.gov.au/__data/assets/pdf_file/0025/388321/201120-TCU-MBT-1-Safety-Barrier-Temporary.pdf" TargetMode="External"/><Relationship Id="rId35" Type="http://schemas.openxmlformats.org/officeDocument/2006/relationships/hyperlink" Target="https://austroads.gov.au/__data/assets/pdf_file/0018/433206/210720-TCU-DB80-K150-Safety-Barrier-Temporary.pdf" TargetMode="External"/><Relationship Id="rId56" Type="http://schemas.openxmlformats.org/officeDocument/2006/relationships/hyperlink" Target="https://austroads.gov.au/__data/assets/pdf_file/0032/406985/210304-TCU-ZONEGUARD-MDS-Safety-Barrier-Temporary.pdf" TargetMode="External"/><Relationship Id="rId77" Type="http://schemas.openxmlformats.org/officeDocument/2006/relationships/hyperlink" Target="file:///G:\:b:\g\personal\sanju_cromptonconcepts_com_au\IQC0rwROKN1lS6HjYcpuC9CKAQFApKzZkC_5y6LEGwJu9V0%3fe=cz22ty" TargetMode="External"/><Relationship Id="rId100" Type="http://schemas.openxmlformats.org/officeDocument/2006/relationships/hyperlink" Target="https://austroads.gov.au/__data/assets/pdf_file/0029/533846/221201-TCU-DB80A-T150-Safety-Barrier-Temporary.pdf" TargetMode="External"/><Relationship Id="rId8" Type="http://schemas.openxmlformats.org/officeDocument/2006/relationships/hyperlink" Target="https://austroads.gov.au/__data/assets/pdf_file/0024/463434/211201-TCU-PIN-and-LOOP-Barrier-Temporary.pdf" TargetMode="External"/><Relationship Id="rId51" Type="http://schemas.openxmlformats.org/officeDocument/2006/relationships/hyperlink" Target="https://austroads.gov.au/__data/assets/pdf_file/0013/633100/240307-TCU-SafeZone-LDS-Safety-Barrier-Permanent-and-Temporary.pdf" TargetMode="External"/><Relationship Id="rId72" Type="http://schemas.openxmlformats.org/officeDocument/2006/relationships/hyperlink" Target="file:///G:\:b:\g\personal\sanju_cromptonconcepts_com_au\IQBEoZiVSNbgRpBtMU_SZbMzAadu6jK2AP5iKGSehr6MUQI%3fe=cAefBw" TargetMode="External"/><Relationship Id="rId93" Type="http://schemas.openxmlformats.org/officeDocument/2006/relationships/hyperlink" Target="file:///G:\:b:\g\personal\sanju_cromptonconcepts_com_au\IQDRmAouByW9Qq4SHyvIt2S5ATqUzZA4UN6IQfozqa7TIyA%3fe=2m6LVV" TargetMode="External"/><Relationship Id="rId98" Type="http://schemas.openxmlformats.org/officeDocument/2006/relationships/hyperlink" Target="file:///G:\:i:\g\personal\sanju_cromptonconcepts_com_au\IQDz1S_A7n2HS4ywBfioJj3UAcQ6l2bz9NWREvWOUPFBf9U%3fe=wvyca2" TargetMode="External"/><Relationship Id="rId3" Type="http://schemas.openxmlformats.org/officeDocument/2006/relationships/hyperlink" Target="https://austroads.gov.au/__data/assets/pdf_file/0029/533846/221201-TCU-DB80A-T150-Safety-Barrier-Temporary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file:///G:\:b:\g\personal\sanju_cromptonconcepts_com_au\IQBd_vnDEaZrQaldcLgSRgjJASTTZxhPlQiMwRa8t0ZkiuU%3fe=U6iReN" TargetMode="External"/><Relationship Id="rId21" Type="http://schemas.openxmlformats.org/officeDocument/2006/relationships/hyperlink" Target="file:///G:\:b:\g\personal\sanju_cromptonconcepts_com_au\IQDBHRe_uqT1SaTUiW5-8TXgAUY3Cd-G3-033GQQYHAKgfM%3fe=YdxyXc" TargetMode="External"/><Relationship Id="rId42" Type="http://schemas.openxmlformats.org/officeDocument/2006/relationships/hyperlink" Target="https://austroads.gov.au/__data/assets/pdf_file/0021/444306/210903-TCU-DEFENDER-100-HC-Safety-Barrier-Temporary.pdf" TargetMode="External"/><Relationship Id="rId47" Type="http://schemas.openxmlformats.org/officeDocument/2006/relationships/hyperlink" Target="https://austroads.gov.au/__data/assets/pdf_file/0030/598620/230925-TCU-IRONMAN-HYBRID-Safety-Barrier-Temporary.pdf" TargetMode="External"/><Relationship Id="rId63" Type="http://schemas.openxmlformats.org/officeDocument/2006/relationships/hyperlink" Target="https://s.yimg.com/ny/api/res/1.2/UlYB4Dh.4B0CAJsf4YWd5w--/YXBwaWQ9aGlnaGxhbmRlcjt3PTY0MDtoPTM0MA--/https:/media.zenfs.com/en/accesswire.ca/23c1b596b6abd4fe4b9e65c0db6631f9" TargetMode="External"/><Relationship Id="rId68" Type="http://schemas.openxmlformats.org/officeDocument/2006/relationships/hyperlink" Target="https://encrypted-tbn0.gstatic.com/images?q=tbn:ANd9GcSrke7EEFUMwI0AfwPZuWn2eWlrr_H3L95STw&amp;s" TargetMode="External"/><Relationship Id="rId16" Type="http://schemas.openxmlformats.org/officeDocument/2006/relationships/hyperlink" Target="file:///G:\:b:\g\personal\sanju_cromptonconcepts_com_au\IQAUrDclLO-OS5y3Q_0KsCaSAe7DXAZufGpgEdJ6uTA_PGw%3fe=RkCLwe" TargetMode="External"/><Relationship Id="rId11" Type="http://schemas.openxmlformats.org/officeDocument/2006/relationships/hyperlink" Target="file:///G:\:b:\g\personal\sanju_cromptonconcepts_com_au\IQC0rwROKN1lS6HjYcpuC9CKAQFApKzZkC_5y6LEGwJu9V0%3fe=cz22ty" TargetMode="External"/><Relationship Id="rId32" Type="http://schemas.openxmlformats.org/officeDocument/2006/relationships/hyperlink" Target="https://austroads.gov.au/__data/assets/pdf_file/0020/570521/230601-TCU-T-LOK-Rubber-Safety-Barrier-Temporary.pdf" TargetMode="External"/><Relationship Id="rId37" Type="http://schemas.openxmlformats.org/officeDocument/2006/relationships/hyperlink" Target="https://austroads.gov.au/__data/assets/pdf_file/0024/516552/220908-TCU-HIGHWAYGUARD-Safety-Barrier-Temporary.pdf" TargetMode="External"/><Relationship Id="rId53" Type="http://schemas.openxmlformats.org/officeDocument/2006/relationships/hyperlink" Target="https://austroads.gov.au/__data/assets/pdf_file/0024/388320/201120-TCU-LO-RO-Water-Cable-Barrier-Temporary.pdf" TargetMode="External"/><Relationship Id="rId58" Type="http://schemas.openxmlformats.org/officeDocument/2006/relationships/hyperlink" Target="https://austroads.gov.au/__data/assets/pdf_file/0029/533576/221201-TCU-Rebloc-80SAH_4-Safety-Barrier-Temporary.pdf" TargetMode="External"/><Relationship Id="rId74" Type="http://schemas.openxmlformats.org/officeDocument/2006/relationships/hyperlink" Target="https://www.mobilebarriers.com/media/index_media/Capital%20Beltway%20I-495%20Express%20Lanes%20Maintenance%20_27_n%20Mobile%20Barriers%20MBT-1.jpg" TargetMode="External"/><Relationship Id="rId79" Type="http://schemas.openxmlformats.org/officeDocument/2006/relationships/hyperlink" Target="https://encrypted-tbn0.gstatic.com/images?q=tbn:ANd9GcTd_vcY9htRDEx3kmmIPL8e_dFsQ77E7J1cmA&amp;s" TargetMode="External"/><Relationship Id="rId5" Type="http://schemas.openxmlformats.org/officeDocument/2006/relationships/hyperlink" Target="file:///G:\:b:\g\personal\sanju_cromptonconcepts_com_au\IQDSMh97B_yDQq8gWN6yM8tnAdTb3GbocCIUEYnerwdlTw8%3fe=wh8Lh2" TargetMode="External"/><Relationship Id="rId61" Type="http://schemas.openxmlformats.org/officeDocument/2006/relationships/hyperlink" Target="https://deltabloc.com/assets/images/9/slider-db80-product-01-d5f86934.webp" TargetMode="External"/><Relationship Id="rId82" Type="http://schemas.openxmlformats.org/officeDocument/2006/relationships/printerSettings" Target="../printerSettings/printerSettings2.bin"/><Relationship Id="rId19" Type="http://schemas.openxmlformats.org/officeDocument/2006/relationships/hyperlink" Target="file:///G:\:b:\g\personal\sanju_cromptonconcepts_com_au\IQCCjrIVJnSPTrg6Xeh8qycbAYvj07xSgU9XVXdUXZk6zW4%3fe=qA8PLF" TargetMode="External"/><Relationship Id="rId14" Type="http://schemas.openxmlformats.org/officeDocument/2006/relationships/hyperlink" Target="file:///G:\:b:\g\personal\sanju_cromptonconcepts_com_au\IQDoNyGUN-i6RK2LvQf-Oqp6ASeuDNKZYJ2k762fpSw-0-U%3fe=ao0Wdf" TargetMode="External"/><Relationship Id="rId22" Type="http://schemas.openxmlformats.org/officeDocument/2006/relationships/hyperlink" Target="file:///G:\:b:\g\personal\sanju_cromptonconcepts_com_au\IQAUlEQKQuqoRLf5dV8UKo3mASE0hqnt51jV83jCgKmOW48%3fe=ovOaTx" TargetMode="External"/><Relationship Id="rId27" Type="http://schemas.openxmlformats.org/officeDocument/2006/relationships/hyperlink" Target="file:///G:\:b:\g\personal\sanju_cromptonconcepts_com_au\IQDRmAouByW9Qq4SHyvIt2S5ATqUzZA4UN6IQfozqa7TIyA%3fe=2m6LVV" TargetMode="External"/><Relationship Id="rId30" Type="http://schemas.openxmlformats.org/officeDocument/2006/relationships/hyperlink" Target="https://austroads.gov.au/__data/assets/pdf_file/0025/480508/220314-TCU-3.6-M-JJ-Hooks-Safety-Barrier-Temporary.pdf" TargetMode="External"/><Relationship Id="rId35" Type="http://schemas.openxmlformats.org/officeDocument/2006/relationships/hyperlink" Target="https://austroads.gov.au/__data/assets/pdf_file/0027/463455/211201-TCU-BG800-Safety-Barrier-Temporary.pdf" TargetMode="External"/><Relationship Id="rId43" Type="http://schemas.openxmlformats.org/officeDocument/2006/relationships/hyperlink" Target="https://austroads.gov.au/__data/assets/pdf_file/0022/463432/211201-TCU-DEFENDER-100-FS-Safety-Barrier-Temporary.pdf" TargetMode="External"/><Relationship Id="rId48" Type="http://schemas.openxmlformats.org/officeDocument/2006/relationships/hyperlink" Target="https://austroads.gov.au/__data/assets/pdf_file/0032/464981/211208-TCU-ZONEGUARD-Safety-Barrier-Temporary.pdf" TargetMode="External"/><Relationship Id="rId56" Type="http://schemas.openxmlformats.org/officeDocument/2006/relationships/hyperlink" Target="https://austroads.gov.au/__data/assets/pdf_file/0015/515130/220902-TCU-Rebloc-80SAH_12-Safety-Barrier.pdf" TargetMode="External"/><Relationship Id="rId64" Type="http://schemas.openxmlformats.org/officeDocument/2006/relationships/hyperlink" Target="https://www.rockinghamprecast.com/assets/barrier/Barrier-1-1024x682-e95d03ae3260558bf15e2099b35e70a1e313f215f9b847ccb799794663fe98ff.jpg" TargetMode="External"/><Relationship Id="rId69" Type="http://schemas.openxmlformats.org/officeDocument/2006/relationships/hyperlink" Target="https://www.saferoads.com.au/media/IHB-2.jpg" TargetMode="External"/><Relationship Id="rId77" Type="http://schemas.openxmlformats.org/officeDocument/2006/relationships/hyperlink" Target="https://encrypted-tbn0.gstatic.com/images?q=tbn:ANd9GcQnyqAAIEOlYEDSkUpm3aRalO_m6tWQqLkasQ&amp;s" TargetMode="External"/><Relationship Id="rId8" Type="http://schemas.openxmlformats.org/officeDocument/2006/relationships/hyperlink" Target="file:///G:\:b:\g\personal\sanju_cromptonconcepts_com_au\IQAE65BL7aOMQIdrdH-m001nAZwtMqzvsg2iA1lMZMExwOw%3fe=Yf6VGs" TargetMode="External"/><Relationship Id="rId51" Type="http://schemas.openxmlformats.org/officeDocument/2006/relationships/hyperlink" Target="https://austroads.gov.au/__data/assets/pdf_file/0032/388283/201120-TCU-ARMORZONE-MASH-Water-Filled-Barrier-Temporary.pdf" TargetMode="External"/><Relationship Id="rId72" Type="http://schemas.openxmlformats.org/officeDocument/2006/relationships/hyperlink" Target="https://encrypted-tbn0.gstatic.com/images?q=tbn:ANd9GcSlYEbeYaI4LAckOZhO2SSIHaEw3Mx2QQ8-Sg&amp;s" TargetMode="External"/><Relationship Id="rId80" Type="http://schemas.openxmlformats.org/officeDocument/2006/relationships/hyperlink" Target="https://www.jaybro.com.au/pub/media/catalog/product/1/5/15-loror-lo-ro-water-cable-barrier-red.jpg?width=265&amp;height=265&amp;store=au_default&amp;image-type=image" TargetMode="External"/><Relationship Id="rId3" Type="http://schemas.openxmlformats.org/officeDocument/2006/relationships/hyperlink" Target="file:///G:\:b:\g\personal\sanju_cromptonconcepts_com_au\IQDvXCatzA8nTpYkYrZXiUwzAbDQ2wciURAIYW5_c2VucFA%3fe=hrndJM" TargetMode="External"/><Relationship Id="rId12" Type="http://schemas.openxmlformats.org/officeDocument/2006/relationships/hyperlink" Target="file:///G:\:b:\g\personal\sanju_cromptonconcepts_com_au\IQDt6nwa8K77T53ggK7kWT7rAUWTQjuqqkRmjr1L0xuaKKM%3fe=1wQ4fx" TargetMode="External"/><Relationship Id="rId17" Type="http://schemas.openxmlformats.org/officeDocument/2006/relationships/hyperlink" Target="file:///G:\:b:\g\personal\sanju_cromptonconcepts_com_au\IQApkEcGBtuZQpO8utTHqagEAZ-CafBa7wSggd3MVh9vVKY%3fe=cepeMd" TargetMode="External"/><Relationship Id="rId25" Type="http://schemas.openxmlformats.org/officeDocument/2006/relationships/hyperlink" Target="file:///G:\:b:\g\personal\sanju_cromptonconcepts_com_au\IQAcpNHmM849T70d96I491reAb1vlu6zPHpufYYmS4tPe_k%3fe=EfYwb3" TargetMode="External"/><Relationship Id="rId33" Type="http://schemas.openxmlformats.org/officeDocument/2006/relationships/hyperlink" Target="https://austroads.gov.au/__data/assets/pdf_file/0024/463434/211201-TCU-PIN-and-LOOP-Barrier-Temporary.pdf" TargetMode="External"/><Relationship Id="rId38" Type="http://schemas.openxmlformats.org/officeDocument/2006/relationships/hyperlink" Target="https://austroads.gov.au/__data/assets/pdf_file/0029/463448/211201-TCU-HIGHWAYGUARD-LDS-Safety-Barrier-Temporary.pdf" TargetMode="External"/><Relationship Id="rId46" Type="http://schemas.openxmlformats.org/officeDocument/2006/relationships/hyperlink" Target="https://austroads.gov.au/__data/assets/pdf_file/0029/592643/230901-TCU-SAFEZONE-MDS-Safety-Barrier-Permanent-and-Temporary.pdf" TargetMode="External"/><Relationship Id="rId59" Type="http://schemas.openxmlformats.org/officeDocument/2006/relationships/hyperlink" Target="https://austroads.gov.au/__data/assets/pdf_file/0043/498778/220616-TCU-Rebloc-120FA_6_FS-Safety-Barrier.pdf" TargetMode="External"/><Relationship Id="rId67" Type="http://schemas.openxmlformats.org/officeDocument/2006/relationships/hyperlink" Target="https://encrypted-tbn0.gstatic.com/images?q=tbn:ANd9GcTMm5AdBQwuyp-njndvqUyd9L2girh5J469fw&amp;s" TargetMode="External"/><Relationship Id="rId20" Type="http://schemas.openxmlformats.org/officeDocument/2006/relationships/hyperlink" Target="file:///G:\:b:\g\personal\sanju_cromptonconcepts_com_au\IQCYL7MVSYYhSqorgKdBplmbAaiiOw_Zu7OimSb8PN-uS3s%3fe=dbWrLR" TargetMode="External"/><Relationship Id="rId41" Type="http://schemas.openxmlformats.org/officeDocument/2006/relationships/hyperlink" Target="https://austroads.gov.au/__data/assets/pdf_file/0022/444307/210903-TCU-DEFENDER-100-LDS-Safety-Barrier-Temporary.pdf" TargetMode="External"/><Relationship Id="rId54" Type="http://schemas.openxmlformats.org/officeDocument/2006/relationships/hyperlink" Target="https://austroads.gov.au/__data/assets/pdf_file/0030/388326/201120-TCU-SHIELD-I-Water-Filled-Barrier-System-Temporary.pdf" TargetMode="External"/><Relationship Id="rId62" Type="http://schemas.openxmlformats.org/officeDocument/2006/relationships/hyperlink" Target="https://deltabloc.com/assets/images/9/slider-db80-product-01-d5f86934.webp" TargetMode="External"/><Relationship Id="rId70" Type="http://schemas.openxmlformats.org/officeDocument/2006/relationships/hyperlink" Target="https://hillandsmith.com/wp-content/uploads/2022/02/floating-image.png" TargetMode="External"/><Relationship Id="rId75" Type="http://schemas.openxmlformats.org/officeDocument/2006/relationships/hyperlink" Target="https://www.roadsidepooledfund.org/wp-content/uploads/2021/10/Screenshot-155.png" TargetMode="External"/><Relationship Id="rId1" Type="http://schemas.openxmlformats.org/officeDocument/2006/relationships/hyperlink" Target="file:///G:\:b:\g\personal\sanju_cromptonconcepts_com_au\IQDX7trjrgYoSJsV4jJPnx4PAbdOzJasBl5HFtl9VxgNDE4%3fe=G5cE0F" TargetMode="External"/><Relationship Id="rId6" Type="http://schemas.openxmlformats.org/officeDocument/2006/relationships/hyperlink" Target="file:///G:\:b:\g\personal\sanju_cromptonconcepts_com_au\IQBEoZiVSNbgRpBtMU_SZbMzAadu6jK2AP5iKGSehr6MUQI%3fe=cAefBw" TargetMode="External"/><Relationship Id="rId15" Type="http://schemas.openxmlformats.org/officeDocument/2006/relationships/hyperlink" Target="file:///G:\:b:\g\personal\sanju_cromptonconcepts_com_au\IQCY9H9p7Y-nRZkKtiGYrItzAaaJVrYK7ghOxEX1j5HA9NE%3fe=LGAV8i" TargetMode="External"/><Relationship Id="rId23" Type="http://schemas.openxmlformats.org/officeDocument/2006/relationships/hyperlink" Target="file:///G:\:b:\g\personal\sanju_cromptonconcepts_com_au\IQB0uDBf3CfbSq_pKXPdKmxGAe_Vr_sFAt7teAATep4EBXs%3fe=s3AcBT" TargetMode="External"/><Relationship Id="rId28" Type="http://schemas.openxmlformats.org/officeDocument/2006/relationships/hyperlink" Target="https://austroads.gov.au/__data/assets/pdf_file/0018/433206/210720-TCU-DB80-K150-Safety-Barrier-Temporary.pdf" TargetMode="External"/><Relationship Id="rId36" Type="http://schemas.openxmlformats.org/officeDocument/2006/relationships/hyperlink" Target="https://austroads.gov.au/__data/assets/pdf_file/0031/463459/211201-TCU-BG800-MDS-Safety-Barrier-Temporary.pdf" TargetMode="External"/><Relationship Id="rId49" Type="http://schemas.openxmlformats.org/officeDocument/2006/relationships/hyperlink" Target="https://austroads.gov.au/__data/assets/pdf_file/0032/406985/210304-TCU-ZONEGUARD-MDS-Safety-Barrier-Temporary.pdf" TargetMode="External"/><Relationship Id="rId57" Type="http://schemas.openxmlformats.org/officeDocument/2006/relationships/hyperlink" Target="https://austroads.gov.au/__data/assets/pdf_file/0027/481626/220322-TCU-Rebloc-80SAH_12_8B-Safety-Barrier.pdf" TargetMode="External"/><Relationship Id="rId10" Type="http://schemas.openxmlformats.org/officeDocument/2006/relationships/hyperlink" Target="file:///G:\:b:\g\personal\sanju_cromptonconcepts_com_au\IQDAh9QlCy3rS6xmAFLvuaJTAZPFCNVu_o5R1ko0NA6B390%3fe=7lggQa" TargetMode="External"/><Relationship Id="rId31" Type="http://schemas.openxmlformats.org/officeDocument/2006/relationships/hyperlink" Target="https://austroads.gov.au/__data/assets/pdf_file/0019/570520/230601-TCU-T-LOK-MASH-F-TYPE-Concrete-Safety-Barrier-Temporary.pdf" TargetMode="External"/><Relationship Id="rId44" Type="http://schemas.openxmlformats.org/officeDocument/2006/relationships/hyperlink" Target="https://austroads.gov.au/__data/assets/pdf_file/0013/633100/240307-TCU-SafeZone-LDS-Safety-Barrier-Permanent-and-Temporary.pdf" TargetMode="External"/><Relationship Id="rId52" Type="http://schemas.openxmlformats.org/officeDocument/2006/relationships/hyperlink" Target="https://austroads.gov.au/__data/assets/pdf_file/0027/388323/201120-TCU-RICOCHET-Water-Filled-Barrier-Temporary.pdf" TargetMode="External"/><Relationship Id="rId60" Type="http://schemas.openxmlformats.org/officeDocument/2006/relationships/hyperlink" Target="https://www.rsea.com.au/Images/ProductImages/Medium/DB80_1.jpg" TargetMode="External"/><Relationship Id="rId65" Type="http://schemas.openxmlformats.org/officeDocument/2006/relationships/hyperlink" Target="https://webassetsprod.valmont.com/valmontproduction/images/ingalcivilau2024libraries/products/guardrail/ezyguard-smart/ezyguard-smart.png?sfvrsn=63618039_1" TargetMode="External"/><Relationship Id="rId73" Type="http://schemas.openxmlformats.org/officeDocument/2006/relationships/hyperlink" Target="https://sitehq-production.s3.amazonaws.com/wp-prod/uploads/5.-Shield-I-Product-Manual1.jpg" TargetMode="External"/><Relationship Id="rId78" Type="http://schemas.openxmlformats.org/officeDocument/2006/relationships/hyperlink" Target="https://www.saferoads.com.au/media/rubbertlok1472.jpg" TargetMode="External"/><Relationship Id="rId81" Type="http://schemas.openxmlformats.org/officeDocument/2006/relationships/hyperlink" Target="https://www.roadsidepooledfund.org/wp-content/uploads/2021/10/Screenshot-153.png" TargetMode="External"/><Relationship Id="rId4" Type="http://schemas.openxmlformats.org/officeDocument/2006/relationships/hyperlink" Target="file:///G:\:b:\g\personal\sanju_cromptonconcepts_com_au\IQBx_780JrG9Q7IgN8KWbkYbAfx86uYATVT3CJnifxiniXg%3fe=JTjSFr" TargetMode="External"/><Relationship Id="rId9" Type="http://schemas.openxmlformats.org/officeDocument/2006/relationships/hyperlink" Target="file:///G:\:b:\g\personal\sanju_cromptonconcepts_com_au\IQA_UG-EDewmQ7DALi7YAtf8AWoPx6wojO3P2Yz_gDj27AY%3fe=BUbMke" TargetMode="External"/><Relationship Id="rId13" Type="http://schemas.openxmlformats.org/officeDocument/2006/relationships/hyperlink" Target="file:///G:\:b:\g\personal\sanju_cromptonconcepts_com_au\IQAOl0nnSYxXRq8E8wt1l8r-ATNOWUMIkM2myzLODy4EkXY%3fe=clmuKO" TargetMode="External"/><Relationship Id="rId18" Type="http://schemas.openxmlformats.org/officeDocument/2006/relationships/hyperlink" Target="file:///G:\:b:\g\personal\sanju_cromptonconcepts_com_au\IQDPaYppRQs-Q4N6w4ToxD0AAUmqiBVFMe2rXW44JnqyAQ0%3fe=VzoC14" TargetMode="External"/><Relationship Id="rId39" Type="http://schemas.openxmlformats.org/officeDocument/2006/relationships/hyperlink" Target="https://austroads.gov.au/__data/assets/pdf_file/0027/570528/230601-TCU-HIGHWAYGUARD-MDS-Safety-Barrier-Temporary.pdf" TargetMode="External"/><Relationship Id="rId34" Type="http://schemas.openxmlformats.org/officeDocument/2006/relationships/hyperlink" Target="https://austroads.gov.au/__data/assets/pdf_file/0024/463452/211201-TCU-BG800-LDS-Safety-Barrier-Temporary.pdf" TargetMode="External"/><Relationship Id="rId50" Type="http://schemas.openxmlformats.org/officeDocument/2006/relationships/hyperlink" Target="https://austroads.gov.au/__data/assets/pdf_file/0021/463440/211201-TCU-HV2-Safety-Barrier-Temporary.pdf" TargetMode="External"/><Relationship Id="rId55" Type="http://schemas.openxmlformats.org/officeDocument/2006/relationships/hyperlink" Target="https://austroads.gov.au/__data/assets/pdf_file/0025/388321/201120-TCU-MBT-1-Safety-Barrier-Temporary.pdf" TargetMode="External"/><Relationship Id="rId76" Type="http://schemas.openxmlformats.org/officeDocument/2006/relationships/hyperlink" Target="https://encrypted-tbn0.gstatic.com/images?q=tbn:ANd9GcRWHQk1XrRCxX6lrEyVsGFPmr32B-Ttmr-XAA&amp;s" TargetMode="External"/><Relationship Id="rId7" Type="http://schemas.openxmlformats.org/officeDocument/2006/relationships/hyperlink" Target="file:///G:\:b:\g\personal\sanju_cromptonconcepts_com_au\IQC21N5hLheYQ4TgR-0PH1q3AX1op4gn9ItJEd1tK4-l0x4%3fe=mdSbb7" TargetMode="External"/><Relationship Id="rId71" Type="http://schemas.openxmlformats.org/officeDocument/2006/relationships/hyperlink" Target="https://encrypted-tbn0.gstatic.com/images?q=tbn:ANd9GcSqvX9uI5h7NpJSrwBs6d28iMU3GQysQGj1kQ&amp;s" TargetMode="External"/><Relationship Id="rId2" Type="http://schemas.openxmlformats.org/officeDocument/2006/relationships/hyperlink" Target="file:///G:\:b:\g\personal\sanju_cromptonconcepts_com_au\IQBrefS5WpFUQp3ZChsaGfV0ARIGo-24pC9FegEhfTI9qXk%3fe=Bo5Jmz" TargetMode="External"/><Relationship Id="rId29" Type="http://schemas.openxmlformats.org/officeDocument/2006/relationships/hyperlink" Target="https://austroads.gov.au/__data/assets/pdf_file/0026/480509/220314-TCU-JJ-HOOKS-MASH-Safety-Barrier-Temporary.pdf" TargetMode="External"/><Relationship Id="rId24" Type="http://schemas.openxmlformats.org/officeDocument/2006/relationships/hyperlink" Target="file:///G:\:b:\g\personal\sanju_cromptonconcepts_com_au\IQBo1kWy6NGIRIqpHr0YuBNmATrUAk05BLBaO894fcDOhOs%3fe=w4E3p7" TargetMode="External"/><Relationship Id="rId40" Type="http://schemas.openxmlformats.org/officeDocument/2006/relationships/hyperlink" Target="https://austroads.gov.au/__data/assets/pdf_file/0028/463429/211201-TCU-DEFENDER-70-Safety-Barrier-Temporary.pdf" TargetMode="External"/><Relationship Id="rId45" Type="http://schemas.openxmlformats.org/officeDocument/2006/relationships/hyperlink" Target="https://austroads.gov.au/__data/assets/pdf_file/0029/592643/230901-TCU-SAFEZONE-MDS-Safety-Barrier-Permanent-and-Temporary.pdf" TargetMode="External"/><Relationship Id="rId66" Type="http://schemas.openxmlformats.org/officeDocument/2006/relationships/hyperlink" Target="https://www.rpmhire.com.au/wp-content/uploads/2022/09/38-1-1024x1024.jp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galcivil.com.au/products/temporary-barriers/armorzone-mash-tl-2-tl-3" TargetMode="External"/><Relationship Id="rId1" Type="http://schemas.openxmlformats.org/officeDocument/2006/relationships/hyperlink" Target="https://www.jaybro.com.au/eco-barrie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aybro.com.au/eco-barrie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ustroads.gov.au/__data/assets/pdf_file/0027/674910/240904-TCU-Tau-XR-Crash-Cushion.pdf" TargetMode="External"/><Relationship Id="rId13" Type="http://schemas.openxmlformats.org/officeDocument/2006/relationships/hyperlink" Target="https://www.safedirection.com.au/products/guardrail-products/road-barriers/crash-cushions/hercules/" TargetMode="External"/><Relationship Id="rId18" Type="http://schemas.openxmlformats.org/officeDocument/2006/relationships/hyperlink" Target="https://austroads.gov.au/__data/assets/pdf_file/0032/388247/201120-TCU-MAX-TENSION-Terminal.pdf" TargetMode="External"/><Relationship Id="rId26" Type="http://schemas.openxmlformats.org/officeDocument/2006/relationships/hyperlink" Target="file:///G:\:b:\g\personal\sanju_cromptonconcepts_com_au\IQACRnHoflQHTb8sUF12d-GdAYDwWI7-69VwA9LBHlYWs3M%3fe=gPJgqN" TargetMode="External"/><Relationship Id="rId3" Type="http://schemas.openxmlformats.org/officeDocument/2006/relationships/hyperlink" Target="https://www.safedirection.com.au/wp-content/uploads/2023/04/Installation-Manual-ABSORB-M-Plastic-Crash-Cushion.pdf" TargetMode="External"/><Relationship Id="rId21" Type="http://schemas.openxmlformats.org/officeDocument/2006/relationships/hyperlink" Target="file:///G:\:b:\g\personal\sanju_cromptonconcepts_com_au\IQBrv5e3N-VQRqhzZrdg9_1nAVA0wsyHNS4Jr3VCyJR1A2o%3fe=UTkK3j" TargetMode="External"/><Relationship Id="rId7" Type="http://schemas.openxmlformats.org/officeDocument/2006/relationships/hyperlink" Target="https://austroads.gov.au/__data/assets/pdf_file/0029/633386/240307-TCU-Universal-Tau-M-Crash-Cushion-Permanent-and-Temporary.pdf" TargetMode="External"/><Relationship Id="rId12" Type="http://schemas.openxmlformats.org/officeDocument/2006/relationships/hyperlink" Target="https://lbaustralia.com.au/products/smart-cushion-speed-dependent-crash-attenuator/" TargetMode="External"/><Relationship Id="rId17" Type="http://schemas.openxmlformats.org/officeDocument/2006/relationships/hyperlink" Target="file:///G:\:b:\g\personal\sanju_cromptonconcepts_com_au\IQA6nEye2kntQoZ-80m2l1CFAQ2nzK4t-IiFP5ff_bgPGCA%3fe=cmIexp" TargetMode="External"/><Relationship Id="rId25" Type="http://schemas.openxmlformats.org/officeDocument/2006/relationships/hyperlink" Target="https://austroads.gov.au/__data/assets/pdf_file/0019/444331/210906-TCU-QUADGUARD-M10-CZ-Crash-Cushion.pdf" TargetMode="External"/><Relationship Id="rId2" Type="http://schemas.openxmlformats.org/officeDocument/2006/relationships/hyperlink" Target="https://austroads.gov.au/__data/assets/pdf_file/0024/444291/210903-TCU-ArmorBuffa-Crash-Cushion.pdf" TargetMode="External"/><Relationship Id="rId16" Type="http://schemas.openxmlformats.org/officeDocument/2006/relationships/hyperlink" Target="https://austroads.gov.au/__data/assets/pdf_file/0032/533849/221201-TCU-ET-SS-Terminal.pdf" TargetMode="External"/><Relationship Id="rId20" Type="http://schemas.openxmlformats.org/officeDocument/2006/relationships/hyperlink" Target="https://austroads.gov.au/__data/assets/pdf_file/0032/554855/230324-TCU-Trend-Median-Terminal.pdf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austroads.gov.au/__data/assets/pdf_file/0022/391261/201205-TCU-SLED-Water-Filled-End-Terminal.pdf" TargetMode="External"/><Relationship Id="rId6" Type="http://schemas.openxmlformats.org/officeDocument/2006/relationships/hyperlink" Target="file:///G:\:b:\g\personal\sanju_cromptonconcepts_com_au\IQCP_v2guPR2TYw9AkEMYkheAbqZkdYza4JdXJYXq3GbKfA%3fe=pugMV0" TargetMode="External"/><Relationship Id="rId11" Type="http://schemas.openxmlformats.org/officeDocument/2006/relationships/hyperlink" Target="https://www.ingalcivil.com.au/products/aus/quadguard-elite-m10" TargetMode="External"/><Relationship Id="rId24" Type="http://schemas.openxmlformats.org/officeDocument/2006/relationships/hyperlink" Target="file:///G:\:b:\g\personal\sanju_cromptonconcepts_com_au\IQAWt9Uq2ojLRbn9iVwWfUfnAanCjD-wUAuURfQVkSS4u3s%3fe=lU0wsE" TargetMode="External"/><Relationship Id="rId5" Type="http://schemas.openxmlformats.org/officeDocument/2006/relationships/hyperlink" Target="file:///G:\:b:\g\personal\sanju_cromptonconcepts_com_au\IQDEqXg2DbbER7nbMQOmucU3ASGynthJt4VmZeU5o7xyWM0%3fe=GekvdR" TargetMode="External"/><Relationship Id="rId15" Type="http://schemas.openxmlformats.org/officeDocument/2006/relationships/hyperlink" Target="file:///G:\:b:\g\personal\sanju_cromptonconcepts_com_au\IQAn6_jgye_5T7RNJ4LLfKxGAcaHWobIra_UQb_Ycy8za9U%3fe=xA2Wm1" TargetMode="External"/><Relationship Id="rId23" Type="http://schemas.openxmlformats.org/officeDocument/2006/relationships/hyperlink" Target="https://austroads.gov.au/__data/assets/pdf_file/0032/406958/210304-TCU-QUADGUARD-M10-Crash-Cushion.pdf" TargetMode="External"/><Relationship Id="rId28" Type="http://schemas.openxmlformats.org/officeDocument/2006/relationships/hyperlink" Target="https://austroads.gov.au/__data/assets/pdf_file/0022/444316/210903-TCU-HERCULES-Crash-Cushion.pdf" TargetMode="External"/><Relationship Id="rId10" Type="http://schemas.openxmlformats.org/officeDocument/2006/relationships/hyperlink" Target="https://austroads.gov.au/__data/assets/pdf_file/0030/633378/240307-TCU-Quadguard-Elite-M10-Crash-Cushion-Permanent.pdf" TargetMode="External"/><Relationship Id="rId19" Type="http://schemas.openxmlformats.org/officeDocument/2006/relationships/hyperlink" Target="file:///G:\:b:\g\personal\sanju_cromptonconcepts_com_au\IQCTf7W7pDUmQpaBDD396tKDAWI80MBWyEYku4__dNwThc0%3fe=IO4ZgI" TargetMode="External"/><Relationship Id="rId4" Type="http://schemas.openxmlformats.org/officeDocument/2006/relationships/hyperlink" Target="https://austroads.gov.au/__data/assets/pdf_file/0031/425587/210607-TCU-ABSORB-M-Crash-Cushion.pdf" TargetMode="External"/><Relationship Id="rId9" Type="http://schemas.openxmlformats.org/officeDocument/2006/relationships/hyperlink" Target="https://austroads.gov.au/__data/assets/pdf_file/0027/633375/240307-TCU-MSKT-Permanent.pdf" TargetMode="External"/><Relationship Id="rId14" Type="http://schemas.openxmlformats.org/officeDocument/2006/relationships/hyperlink" Target="file:///G:\:b:\g\personal\sanju_cromptonconcepts_com_au\IQCwlwNu2L9JRbZkC8TRVcJnAeOMbdn28Bb27bhmY39k9qY%3fe=U0jf5j" TargetMode="External"/><Relationship Id="rId22" Type="http://schemas.openxmlformats.org/officeDocument/2006/relationships/hyperlink" Target="file:///G:\:b:\g\personal\sanju_cromptonconcepts_com_au\IQCDUGRch_3uRbx9LFPDkV3JAaQNsEo2wug3KV8_9JrKvJM%3fe=UVPWCc" TargetMode="External"/><Relationship Id="rId27" Type="http://schemas.openxmlformats.org/officeDocument/2006/relationships/hyperlink" Target="https://austroads.gov.au/__data/assets/pdf_file/0024/391236/201205-TCU-SMART-Steel-Crash-Cush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53"/>
  <sheetViews>
    <sheetView tabSelected="1" zoomScale="110" zoomScaleNormal="110" workbookViewId="0">
      <pane xSplit="1" topLeftCell="B1" activePane="topRight" state="frozen"/>
      <selection pane="topRight" activeCell="E4" sqref="E4"/>
    </sheetView>
  </sheetViews>
  <sheetFormatPr defaultColWidth="12.5703125" defaultRowHeight="15.75"/>
  <cols>
    <col min="1" max="1" width="38.140625" style="6" customWidth="1"/>
    <col min="2" max="2" width="30.42578125" style="6" bestFit="1" customWidth="1"/>
    <col min="3" max="3" width="29.85546875" style="6" bestFit="1" customWidth="1"/>
    <col min="4" max="4" width="20.85546875" style="6" bestFit="1" customWidth="1"/>
    <col min="5" max="5" width="25.5703125" style="6" bestFit="1" customWidth="1"/>
    <col min="6" max="6" width="25.5703125" style="6" customWidth="1"/>
    <col min="7" max="7" width="21.5703125" style="6" bestFit="1" customWidth="1"/>
    <col min="8" max="8" width="25.140625" style="6" bestFit="1" customWidth="1"/>
    <col min="9" max="9" width="19.140625" style="6" bestFit="1" customWidth="1"/>
    <col min="10" max="10" width="15.85546875" style="6" bestFit="1" customWidth="1"/>
    <col min="11" max="11" width="25.85546875" style="6" bestFit="1" customWidth="1"/>
    <col min="12" max="12" width="14.5703125" style="6" bestFit="1" customWidth="1"/>
    <col min="13" max="13" width="19.85546875" style="6" bestFit="1" customWidth="1"/>
    <col min="14" max="14" width="15.5703125" style="6" bestFit="1" customWidth="1"/>
    <col min="15" max="16" width="15.5703125" style="6" customWidth="1"/>
    <col min="17" max="17" width="21.42578125" style="6" bestFit="1" customWidth="1"/>
    <col min="18" max="18" width="34.5703125" style="6" bestFit="1" customWidth="1"/>
    <col min="19" max="19" width="108.140625" style="6" bestFit="1" customWidth="1"/>
    <col min="20" max="20" width="58.140625" style="6" bestFit="1" customWidth="1"/>
    <col min="21" max="21" width="58.140625" style="6" customWidth="1"/>
    <col min="22" max="22" width="52.140625" style="6" customWidth="1"/>
    <col min="23" max="23" width="60.5703125" style="6" bestFit="1" customWidth="1"/>
    <col min="24" max="16384" width="12.5703125" style="6"/>
  </cols>
  <sheetData>
    <row r="1" spans="1:24" ht="31.5">
      <c r="A1" s="2" t="s">
        <v>0</v>
      </c>
      <c r="B1" s="2" t="s">
        <v>0</v>
      </c>
      <c r="C1" s="2" t="s">
        <v>1</v>
      </c>
      <c r="D1" s="2" t="s">
        <v>2</v>
      </c>
      <c r="E1" s="6" t="s">
        <v>390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103" t="s">
        <v>15</v>
      </c>
      <c r="S1" s="103"/>
      <c r="T1" s="45" t="s">
        <v>16</v>
      </c>
      <c r="U1" s="45" t="s">
        <v>16</v>
      </c>
      <c r="V1" s="46" t="s">
        <v>17</v>
      </c>
      <c r="W1" s="5" t="s">
        <v>18</v>
      </c>
    </row>
    <row r="2" spans="1:24" ht="31.5">
      <c r="A2" s="4" t="s">
        <v>19</v>
      </c>
      <c r="B2" s="5" t="s">
        <v>19</v>
      </c>
      <c r="C2" s="4" t="s">
        <v>20</v>
      </c>
      <c r="D2" s="4" t="s">
        <v>21</v>
      </c>
      <c r="E2" s="4"/>
      <c r="F2" s="4"/>
      <c r="G2" s="4"/>
      <c r="H2" s="4" t="s">
        <v>22</v>
      </c>
      <c r="I2" s="4" t="s">
        <v>23</v>
      </c>
      <c r="J2" s="4"/>
      <c r="K2" s="4"/>
      <c r="L2" s="4" t="s">
        <v>23</v>
      </c>
      <c r="M2" s="4" t="s">
        <v>23</v>
      </c>
      <c r="N2" s="4"/>
      <c r="O2" s="4"/>
      <c r="P2" s="4"/>
      <c r="Q2" s="5" t="s">
        <v>24</v>
      </c>
      <c r="R2" s="7" t="s">
        <v>25</v>
      </c>
      <c r="S2" s="7"/>
      <c r="T2" s="14"/>
      <c r="U2" s="14"/>
      <c r="V2" s="14"/>
      <c r="W2" s="3"/>
    </row>
    <row r="3" spans="1:24" ht="51">
      <c r="A3" s="5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/>
      <c r="G3" s="4" t="s">
        <v>31</v>
      </c>
      <c r="H3" s="4" t="s">
        <v>32</v>
      </c>
      <c r="I3" s="4">
        <v>100</v>
      </c>
      <c r="J3" s="4">
        <v>0.56999999999999995</v>
      </c>
      <c r="K3" s="4">
        <v>61.17</v>
      </c>
      <c r="L3" s="4">
        <v>1.44</v>
      </c>
      <c r="M3" s="4">
        <v>1.94</v>
      </c>
      <c r="N3" s="12">
        <v>7.0000000000000007E-2</v>
      </c>
      <c r="O3" s="54" t="s">
        <v>33</v>
      </c>
      <c r="P3" s="53" t="s">
        <v>34</v>
      </c>
      <c r="Q3" s="5" t="s">
        <v>35</v>
      </c>
      <c r="R3" s="8" t="s">
        <v>36</v>
      </c>
      <c r="S3" s="21" t="s">
        <v>37</v>
      </c>
      <c r="T3" s="10" t="s">
        <v>38</v>
      </c>
      <c r="U3" s="10"/>
      <c r="V3" s="10" t="s">
        <v>39</v>
      </c>
      <c r="W3" s="5" t="s">
        <v>40</v>
      </c>
    </row>
    <row r="4" spans="1:24" ht="30.95" customHeight="1">
      <c r="A4" s="97" t="s">
        <v>41</v>
      </c>
      <c r="B4" s="96" t="s">
        <v>42</v>
      </c>
      <c r="C4" s="4" t="s">
        <v>28</v>
      </c>
      <c r="D4" s="96" t="s">
        <v>29</v>
      </c>
      <c r="E4" s="4" t="s">
        <v>43</v>
      </c>
      <c r="F4" s="48"/>
      <c r="G4" s="98" t="s">
        <v>31</v>
      </c>
      <c r="H4" s="4" t="s">
        <v>32</v>
      </c>
      <c r="I4" s="4">
        <v>100</v>
      </c>
      <c r="J4" s="4">
        <v>0.56999999999999995</v>
      </c>
      <c r="K4" s="4">
        <v>92</v>
      </c>
      <c r="L4" s="4">
        <v>0.81</v>
      </c>
      <c r="M4" s="4">
        <v>1.36</v>
      </c>
      <c r="N4" s="108">
        <v>0.1</v>
      </c>
      <c r="O4" s="98" t="s">
        <v>33</v>
      </c>
      <c r="P4" s="98" t="s">
        <v>44</v>
      </c>
      <c r="Q4" s="106" t="s">
        <v>35</v>
      </c>
      <c r="R4" s="104" t="s">
        <v>45</v>
      </c>
      <c r="S4" s="105" t="s">
        <v>46</v>
      </c>
      <c r="T4" s="110" t="s">
        <v>47</v>
      </c>
      <c r="U4" s="55"/>
      <c r="V4" s="110" t="s">
        <v>48</v>
      </c>
      <c r="W4" s="106" t="s">
        <v>40</v>
      </c>
    </row>
    <row r="5" spans="1:24">
      <c r="A5" s="97"/>
      <c r="B5" s="96"/>
      <c r="C5" s="4" t="s">
        <v>49</v>
      </c>
      <c r="D5" s="96"/>
      <c r="E5" s="4" t="s">
        <v>43</v>
      </c>
      <c r="F5" s="49"/>
      <c r="G5" s="99"/>
      <c r="H5" s="4" t="s">
        <v>32</v>
      </c>
      <c r="I5" s="4">
        <v>100</v>
      </c>
      <c r="J5" s="4">
        <v>0.56999999999999995</v>
      </c>
      <c r="K5" s="4">
        <v>92</v>
      </c>
      <c r="L5" s="4">
        <v>0.81</v>
      </c>
      <c r="M5" s="4">
        <v>2.5</v>
      </c>
      <c r="N5" s="109"/>
      <c r="O5" s="99"/>
      <c r="P5" s="99"/>
      <c r="Q5" s="107"/>
      <c r="R5" s="104"/>
      <c r="S5" s="104"/>
      <c r="T5" s="111"/>
      <c r="U5" s="56"/>
      <c r="V5" s="111"/>
      <c r="W5" s="107"/>
    </row>
    <row r="6" spans="1:24" ht="47.25">
      <c r="A6" s="97" t="s">
        <v>50</v>
      </c>
      <c r="B6" s="96" t="s">
        <v>51</v>
      </c>
      <c r="C6" s="4" t="s">
        <v>52</v>
      </c>
      <c r="D6" s="96" t="s">
        <v>29</v>
      </c>
      <c r="E6" s="4">
        <v>3</v>
      </c>
      <c r="F6" s="4"/>
      <c r="G6" s="4" t="s">
        <v>53</v>
      </c>
      <c r="H6" s="4" t="s">
        <v>32</v>
      </c>
      <c r="I6" s="4">
        <v>100</v>
      </c>
      <c r="J6" s="4">
        <f>M6-L6</f>
        <v>0.57000000000000006</v>
      </c>
      <c r="K6" s="4">
        <v>68</v>
      </c>
      <c r="L6" s="4">
        <v>0.34</v>
      </c>
      <c r="M6" s="4">
        <v>0.91</v>
      </c>
      <c r="N6" s="108">
        <v>0.1</v>
      </c>
      <c r="O6" s="98" t="s">
        <v>33</v>
      </c>
      <c r="P6" s="98" t="s">
        <v>54</v>
      </c>
      <c r="Q6" s="106" t="s">
        <v>35</v>
      </c>
      <c r="R6" s="104" t="s">
        <v>55</v>
      </c>
      <c r="S6" s="105" t="s">
        <v>56</v>
      </c>
      <c r="T6" s="110" t="s">
        <v>57</v>
      </c>
      <c r="U6" s="55"/>
      <c r="V6" s="110" t="s">
        <v>58</v>
      </c>
      <c r="W6" s="5" t="s">
        <v>40</v>
      </c>
    </row>
    <row r="7" spans="1:24" ht="31.5">
      <c r="A7" s="97"/>
      <c r="B7" s="96"/>
      <c r="C7" s="4" t="s">
        <v>59</v>
      </c>
      <c r="D7" s="96"/>
      <c r="E7" s="4">
        <v>3</v>
      </c>
      <c r="F7" s="4"/>
      <c r="G7" s="4" t="s">
        <v>60</v>
      </c>
      <c r="H7" s="4" t="s">
        <v>32</v>
      </c>
      <c r="I7" s="4">
        <v>80</v>
      </c>
      <c r="J7" s="4">
        <v>0.56999999999999995</v>
      </c>
      <c r="K7" s="4">
        <v>68</v>
      </c>
      <c r="L7" s="4">
        <v>0.55000000000000004</v>
      </c>
      <c r="M7" s="4">
        <v>0.91</v>
      </c>
      <c r="N7" s="109"/>
      <c r="O7" s="99"/>
      <c r="P7" s="99"/>
      <c r="Q7" s="107"/>
      <c r="R7" s="104"/>
      <c r="S7" s="104"/>
      <c r="T7" s="111"/>
      <c r="U7" s="56"/>
      <c r="V7" s="111"/>
      <c r="W7" s="5"/>
    </row>
    <row r="8" spans="1:24" ht="47.25">
      <c r="A8" s="97" t="s">
        <v>61</v>
      </c>
      <c r="B8" s="96" t="s">
        <v>62</v>
      </c>
      <c r="C8" s="4" t="s">
        <v>28</v>
      </c>
      <c r="D8" s="96" t="s">
        <v>29</v>
      </c>
      <c r="E8" s="4" t="s">
        <v>30</v>
      </c>
      <c r="F8" s="4"/>
      <c r="G8" s="102" t="s">
        <v>31</v>
      </c>
      <c r="H8" s="4" t="s">
        <v>32</v>
      </c>
      <c r="I8" s="4">
        <v>100</v>
      </c>
      <c r="J8" s="4">
        <v>0.61</v>
      </c>
      <c r="K8" s="4">
        <v>59</v>
      </c>
      <c r="L8" s="4">
        <v>1.63</v>
      </c>
      <c r="M8" s="4">
        <v>2.23</v>
      </c>
      <c r="N8" s="12">
        <v>0.06</v>
      </c>
      <c r="O8" s="4">
        <v>3.6</v>
      </c>
      <c r="P8" s="4">
        <v>2600</v>
      </c>
      <c r="Q8" s="97" t="s">
        <v>63</v>
      </c>
      <c r="R8" s="8" t="s">
        <v>64</v>
      </c>
      <c r="S8" s="11" t="s">
        <v>65</v>
      </c>
      <c r="T8" s="112" t="s">
        <v>66</v>
      </c>
      <c r="U8" s="68"/>
      <c r="V8" s="125" t="s">
        <v>67</v>
      </c>
      <c r="W8" s="5" t="s">
        <v>68</v>
      </c>
    </row>
    <row r="9" spans="1:24">
      <c r="A9" s="97"/>
      <c r="B9" s="96"/>
      <c r="C9" s="4" t="s">
        <v>28</v>
      </c>
      <c r="D9" s="96"/>
      <c r="E9" s="4" t="s">
        <v>30</v>
      </c>
      <c r="F9" s="4"/>
      <c r="G9" s="102"/>
      <c r="H9" s="4" t="s">
        <v>32</v>
      </c>
      <c r="I9" s="4">
        <v>100</v>
      </c>
      <c r="J9" s="4">
        <v>0.6</v>
      </c>
      <c r="K9" s="4">
        <v>66</v>
      </c>
      <c r="L9" s="4">
        <v>1.6</v>
      </c>
      <c r="M9" s="4">
        <v>2.2000000000000002</v>
      </c>
      <c r="N9" s="12">
        <v>0.06</v>
      </c>
      <c r="O9" s="4">
        <v>6</v>
      </c>
      <c r="P9" s="4">
        <v>4430</v>
      </c>
      <c r="Q9" s="97"/>
      <c r="R9" s="8" t="s">
        <v>69</v>
      </c>
      <c r="S9" s="21" t="s">
        <v>70</v>
      </c>
      <c r="T9" s="113"/>
      <c r="U9" s="69"/>
      <c r="V9" s="126"/>
      <c r="W9" s="5"/>
    </row>
    <row r="10" spans="1:24" ht="78.75">
      <c r="A10" s="5" t="s">
        <v>71</v>
      </c>
      <c r="B10" s="4" t="s">
        <v>72</v>
      </c>
      <c r="C10" s="4" t="s">
        <v>28</v>
      </c>
      <c r="D10" s="4" t="s">
        <v>29</v>
      </c>
      <c r="E10" s="4" t="s">
        <v>30</v>
      </c>
      <c r="F10" s="4"/>
      <c r="G10" s="4" t="s">
        <v>31</v>
      </c>
      <c r="H10" s="4" t="s">
        <v>32</v>
      </c>
      <c r="I10" s="4">
        <v>100</v>
      </c>
      <c r="J10" s="4">
        <f t="shared" ref="J10:J51" si="0">M10-L10</f>
        <v>0.60999999999999988</v>
      </c>
      <c r="K10" s="4">
        <v>58.5</v>
      </c>
      <c r="L10" s="4">
        <v>1.27</v>
      </c>
      <c r="M10" s="4">
        <v>1.88</v>
      </c>
      <c r="N10" s="12">
        <v>0.05</v>
      </c>
      <c r="O10" s="4" t="s">
        <v>73</v>
      </c>
      <c r="P10" s="4" t="s">
        <v>74</v>
      </c>
      <c r="Q10" s="5" t="s">
        <v>75</v>
      </c>
      <c r="R10" s="8" t="s">
        <v>76</v>
      </c>
      <c r="S10" s="11" t="s">
        <v>77</v>
      </c>
      <c r="T10" s="15" t="s">
        <v>78</v>
      </c>
      <c r="U10" s="15"/>
      <c r="V10" s="15" t="s">
        <v>79</v>
      </c>
      <c r="W10" s="5" t="s">
        <v>80</v>
      </c>
    </row>
    <row r="11" spans="1:24" ht="78.75">
      <c r="A11" s="5" t="s">
        <v>81</v>
      </c>
      <c r="B11" s="4" t="s">
        <v>82</v>
      </c>
      <c r="C11" s="4" t="s">
        <v>28</v>
      </c>
      <c r="D11" s="4" t="s">
        <v>29</v>
      </c>
      <c r="E11" s="4" t="s">
        <v>30</v>
      </c>
      <c r="F11" s="4"/>
      <c r="G11" s="4" t="s">
        <v>31</v>
      </c>
      <c r="H11" s="4" t="s">
        <v>32</v>
      </c>
      <c r="I11" s="4">
        <v>100</v>
      </c>
      <c r="J11" s="4">
        <f t="shared" si="0"/>
        <v>0.6100000000000001</v>
      </c>
      <c r="K11" s="4">
        <v>58.5</v>
      </c>
      <c r="L11" s="4">
        <v>1.76</v>
      </c>
      <c r="M11" s="4">
        <v>2.37</v>
      </c>
      <c r="N11" s="12">
        <v>0.05</v>
      </c>
      <c r="O11" s="4" t="s">
        <v>73</v>
      </c>
      <c r="P11" s="4" t="s">
        <v>74</v>
      </c>
      <c r="Q11" s="5" t="s">
        <v>75</v>
      </c>
      <c r="R11" s="8" t="s">
        <v>83</v>
      </c>
      <c r="S11" s="11" t="s">
        <v>84</v>
      </c>
      <c r="T11" s="15" t="s">
        <v>85</v>
      </c>
      <c r="U11" s="15"/>
      <c r="V11" s="15"/>
      <c r="W11" s="5" t="s">
        <v>80</v>
      </c>
    </row>
    <row r="12" spans="1:24" ht="51">
      <c r="A12" s="5" t="s">
        <v>86</v>
      </c>
      <c r="B12" s="4" t="s">
        <v>87</v>
      </c>
      <c r="C12" s="4" t="s">
        <v>28</v>
      </c>
      <c r="D12" s="4" t="s">
        <v>29</v>
      </c>
      <c r="E12" s="4" t="s">
        <v>30</v>
      </c>
      <c r="F12" s="4"/>
      <c r="G12" s="4" t="s">
        <v>31</v>
      </c>
      <c r="H12" s="4" t="s">
        <v>32</v>
      </c>
      <c r="I12" s="4">
        <v>100</v>
      </c>
      <c r="J12" s="4">
        <f t="shared" si="0"/>
        <v>0.6100000000000001</v>
      </c>
      <c r="K12" s="4">
        <v>61.4</v>
      </c>
      <c r="L12" s="4">
        <v>1.61</v>
      </c>
      <c r="M12" s="4">
        <v>2.2200000000000002</v>
      </c>
      <c r="N12" s="12">
        <v>7.0000000000000007E-2</v>
      </c>
      <c r="O12" s="4" t="s">
        <v>88</v>
      </c>
      <c r="P12" s="4">
        <v>2640</v>
      </c>
      <c r="Q12" s="5" t="s">
        <v>89</v>
      </c>
      <c r="R12" s="8" t="s">
        <v>90</v>
      </c>
      <c r="S12" s="11" t="s">
        <v>91</v>
      </c>
      <c r="T12" s="15" t="s">
        <v>92</v>
      </c>
      <c r="U12" s="15"/>
      <c r="V12" s="15"/>
      <c r="W12" s="5" t="s">
        <v>68</v>
      </c>
    </row>
    <row r="13" spans="1:24">
      <c r="A13" s="96" t="s">
        <v>93</v>
      </c>
      <c r="B13" s="97" t="s">
        <v>94</v>
      </c>
      <c r="C13" s="4" t="s">
        <v>28</v>
      </c>
      <c r="D13" s="96" t="s">
        <v>95</v>
      </c>
      <c r="E13" s="4">
        <v>60</v>
      </c>
      <c r="F13" s="4"/>
      <c r="G13" s="4"/>
      <c r="H13" s="4" t="s">
        <v>96</v>
      </c>
      <c r="I13" s="4">
        <v>100</v>
      </c>
      <c r="J13" s="4">
        <f t="shared" si="0"/>
        <v>0.54000000000000026</v>
      </c>
      <c r="K13" s="4">
        <v>72</v>
      </c>
      <c r="L13" s="4">
        <v>1.66</v>
      </c>
      <c r="M13" s="4">
        <v>2.2000000000000002</v>
      </c>
      <c r="N13" s="12">
        <v>0.08</v>
      </c>
      <c r="O13" s="4" t="s">
        <v>97</v>
      </c>
      <c r="P13" s="4" t="s">
        <v>98</v>
      </c>
      <c r="Q13" s="97" t="s">
        <v>99</v>
      </c>
      <c r="R13" s="104" t="s">
        <v>100</v>
      </c>
      <c r="S13" s="115" t="s">
        <v>101</v>
      </c>
      <c r="T13" s="119" t="s">
        <v>102</v>
      </c>
      <c r="U13" s="16"/>
      <c r="V13" s="16"/>
      <c r="W13" s="3"/>
      <c r="X13" s="9"/>
    </row>
    <row r="14" spans="1:24">
      <c r="A14" s="96"/>
      <c r="B14" s="97"/>
      <c r="C14" s="4" t="s">
        <v>49</v>
      </c>
      <c r="D14" s="96"/>
      <c r="E14" s="4">
        <v>60</v>
      </c>
      <c r="F14" s="4"/>
      <c r="G14" s="4"/>
      <c r="H14" s="4"/>
      <c r="I14" s="4">
        <v>100</v>
      </c>
      <c r="J14" s="4">
        <v>0.54</v>
      </c>
      <c r="K14" s="4">
        <v>72</v>
      </c>
      <c r="L14" s="4">
        <v>2.31</v>
      </c>
      <c r="M14" s="4">
        <v>3.66</v>
      </c>
      <c r="N14" s="12">
        <v>0.08</v>
      </c>
      <c r="O14" s="4">
        <v>6</v>
      </c>
      <c r="P14" s="4">
        <v>540</v>
      </c>
      <c r="Q14" s="97"/>
      <c r="R14" s="104"/>
      <c r="S14" s="115"/>
      <c r="T14" s="120"/>
      <c r="U14" s="17"/>
      <c r="V14" s="17"/>
      <c r="W14" s="3"/>
      <c r="X14" s="9"/>
    </row>
    <row r="15" spans="1:24" ht="110.25">
      <c r="A15" s="96"/>
      <c r="B15" s="22" t="s">
        <v>103</v>
      </c>
      <c r="C15" s="4" t="s">
        <v>28</v>
      </c>
      <c r="D15" s="4" t="s">
        <v>95</v>
      </c>
      <c r="E15" s="4">
        <v>6</v>
      </c>
      <c r="F15" s="4"/>
      <c r="G15" s="4" t="s">
        <v>104</v>
      </c>
      <c r="H15" s="4"/>
      <c r="I15" s="4">
        <v>100</v>
      </c>
      <c r="J15" s="4">
        <f>M15-L15</f>
        <v>0.54</v>
      </c>
      <c r="K15" s="4">
        <v>42</v>
      </c>
      <c r="L15" s="4">
        <v>0.44</v>
      </c>
      <c r="M15" s="4">
        <v>0.98</v>
      </c>
      <c r="N15" s="12">
        <v>0.08</v>
      </c>
      <c r="O15" s="4" t="s">
        <v>97</v>
      </c>
      <c r="P15" s="53" t="s">
        <v>98</v>
      </c>
      <c r="Q15" s="97"/>
      <c r="R15" s="23" t="s">
        <v>105</v>
      </c>
      <c r="S15" s="21" t="s">
        <v>106</v>
      </c>
      <c r="T15" s="120"/>
      <c r="U15" s="17"/>
      <c r="V15" s="18"/>
      <c r="W15" s="3"/>
      <c r="X15" s="9"/>
    </row>
    <row r="16" spans="1:24" ht="47.25">
      <c r="A16" s="96"/>
      <c r="B16" s="22" t="s">
        <v>107</v>
      </c>
      <c r="C16" s="4" t="s">
        <v>108</v>
      </c>
      <c r="D16" s="4" t="s">
        <v>95</v>
      </c>
      <c r="E16" s="4">
        <v>12</v>
      </c>
      <c r="F16" s="4"/>
      <c r="G16" s="4" t="s">
        <v>109</v>
      </c>
      <c r="H16" s="4"/>
      <c r="I16" s="4">
        <v>80</v>
      </c>
      <c r="J16" s="4">
        <f>M16-L16</f>
        <v>0.54</v>
      </c>
      <c r="K16" s="4">
        <v>72</v>
      </c>
      <c r="L16" s="4">
        <v>0.42</v>
      </c>
      <c r="M16" s="4">
        <v>0.96</v>
      </c>
      <c r="N16" s="12">
        <v>0.08</v>
      </c>
      <c r="O16" s="4" t="s">
        <v>97</v>
      </c>
      <c r="P16" s="4" t="s">
        <v>110</v>
      </c>
      <c r="Q16" s="97"/>
      <c r="R16" s="8" t="s">
        <v>111</v>
      </c>
      <c r="S16" s="11" t="s">
        <v>112</v>
      </c>
      <c r="T16" s="121"/>
      <c r="U16" s="70"/>
      <c r="V16" s="15"/>
      <c r="W16" s="3"/>
      <c r="X16" s="9"/>
    </row>
    <row r="17" spans="1:23">
      <c r="A17" s="96" t="s">
        <v>113</v>
      </c>
      <c r="B17" s="97" t="s">
        <v>114</v>
      </c>
      <c r="C17" s="4" t="s">
        <v>28</v>
      </c>
      <c r="D17" s="96" t="s">
        <v>95</v>
      </c>
      <c r="E17" s="4">
        <v>42</v>
      </c>
      <c r="F17" s="4"/>
      <c r="G17" s="101" t="s">
        <v>115</v>
      </c>
      <c r="H17" s="4" t="s">
        <v>96</v>
      </c>
      <c r="I17" s="4">
        <v>100</v>
      </c>
      <c r="J17" s="4">
        <f t="shared" si="0"/>
        <v>0.54</v>
      </c>
      <c r="K17" s="4">
        <v>108</v>
      </c>
      <c r="L17" s="4">
        <v>1.71</v>
      </c>
      <c r="M17" s="4">
        <v>2.25</v>
      </c>
      <c r="N17" s="12">
        <v>0.08</v>
      </c>
      <c r="O17" s="4" t="s">
        <v>97</v>
      </c>
      <c r="P17" s="4" t="s">
        <v>116</v>
      </c>
      <c r="Q17" s="97" t="s">
        <v>99</v>
      </c>
      <c r="R17" s="104" t="s">
        <v>117</v>
      </c>
      <c r="S17" s="110" t="s">
        <v>118</v>
      </c>
      <c r="T17" s="122" t="s">
        <v>119</v>
      </c>
      <c r="U17" s="71"/>
      <c r="V17" s="15"/>
      <c r="W17" s="3"/>
    </row>
    <row r="18" spans="1:23">
      <c r="A18" s="96"/>
      <c r="B18" s="97"/>
      <c r="C18" s="4" t="s">
        <v>28</v>
      </c>
      <c r="D18" s="96"/>
      <c r="E18" s="4">
        <v>58</v>
      </c>
      <c r="F18" s="4"/>
      <c r="G18" s="101"/>
      <c r="H18" s="4"/>
      <c r="I18" s="4">
        <v>100</v>
      </c>
      <c r="J18" s="4">
        <f t="shared" si="0"/>
        <v>0.54000000000000026</v>
      </c>
      <c r="K18" s="4">
        <v>120</v>
      </c>
      <c r="L18" s="4">
        <v>1.93</v>
      </c>
      <c r="M18" s="4">
        <v>2.4700000000000002</v>
      </c>
      <c r="N18" s="12">
        <v>0.08</v>
      </c>
      <c r="O18" s="4" t="s">
        <v>97</v>
      </c>
      <c r="P18" s="4" t="s">
        <v>116</v>
      </c>
      <c r="Q18" s="97"/>
      <c r="R18" s="104"/>
      <c r="S18" s="116"/>
      <c r="T18" s="116"/>
      <c r="U18" s="67"/>
      <c r="V18" s="15"/>
      <c r="W18" s="3"/>
    </row>
    <row r="19" spans="1:23">
      <c r="A19" s="96"/>
      <c r="B19" s="97"/>
      <c r="C19" s="4" t="s">
        <v>49</v>
      </c>
      <c r="D19" s="96"/>
      <c r="E19" s="4">
        <v>58</v>
      </c>
      <c r="F19" s="4"/>
      <c r="G19" s="101"/>
      <c r="H19" s="4"/>
      <c r="I19" s="4">
        <v>100</v>
      </c>
      <c r="J19" s="4">
        <f t="shared" si="0"/>
        <v>1.3499999999999996</v>
      </c>
      <c r="K19" s="4">
        <v>120</v>
      </c>
      <c r="L19" s="4">
        <v>2.16</v>
      </c>
      <c r="M19" s="4">
        <v>3.51</v>
      </c>
      <c r="N19" s="12">
        <v>0.08</v>
      </c>
      <c r="O19" s="4" t="s">
        <v>97</v>
      </c>
      <c r="P19" s="4" t="s">
        <v>116</v>
      </c>
      <c r="Q19" s="97"/>
      <c r="R19" s="104"/>
      <c r="S19" s="117"/>
      <c r="T19" s="117"/>
      <c r="U19" s="20"/>
      <c r="V19" s="15"/>
      <c r="W19" s="3"/>
    </row>
    <row r="20" spans="1:23">
      <c r="A20" s="96"/>
      <c r="B20" s="97" t="s">
        <v>120</v>
      </c>
      <c r="C20" s="4" t="s">
        <v>28</v>
      </c>
      <c r="D20" s="96"/>
      <c r="E20" s="4">
        <v>12</v>
      </c>
      <c r="F20" s="4"/>
      <c r="G20" s="96" t="s">
        <v>121</v>
      </c>
      <c r="H20" s="4"/>
      <c r="I20" s="4">
        <v>100</v>
      </c>
      <c r="J20" s="4">
        <f t="shared" si="0"/>
        <v>0.53999999999999992</v>
      </c>
      <c r="K20" s="4">
        <v>60</v>
      </c>
      <c r="L20" s="4">
        <v>0.68</v>
      </c>
      <c r="M20" s="4">
        <v>1.22</v>
      </c>
      <c r="N20" s="12">
        <v>0.08</v>
      </c>
      <c r="O20" s="4" t="s">
        <v>97</v>
      </c>
      <c r="P20" s="4" t="s">
        <v>116</v>
      </c>
      <c r="Q20" s="97"/>
      <c r="R20" s="123" t="s">
        <v>122</v>
      </c>
      <c r="S20" s="110" t="s">
        <v>123</v>
      </c>
      <c r="T20" s="110" t="s">
        <v>124</v>
      </c>
      <c r="U20" s="19"/>
      <c r="V20" s="15"/>
      <c r="W20" s="3"/>
    </row>
    <row r="21" spans="1:23">
      <c r="A21" s="96"/>
      <c r="B21" s="97"/>
      <c r="C21" s="4" t="s">
        <v>28</v>
      </c>
      <c r="D21" s="96"/>
      <c r="E21" s="4">
        <v>24</v>
      </c>
      <c r="F21" s="4"/>
      <c r="G21" s="96"/>
      <c r="H21" s="4"/>
      <c r="I21" s="4">
        <v>100</v>
      </c>
      <c r="J21" s="4">
        <f t="shared" si="0"/>
        <v>0.54</v>
      </c>
      <c r="K21" s="4">
        <v>60</v>
      </c>
      <c r="L21" s="4">
        <v>1.1599999999999999</v>
      </c>
      <c r="M21" s="4">
        <v>1.7</v>
      </c>
      <c r="N21" s="12">
        <v>0.08</v>
      </c>
      <c r="O21" s="4" t="s">
        <v>97</v>
      </c>
      <c r="P21" s="4" t="s">
        <v>116</v>
      </c>
      <c r="Q21" s="97"/>
      <c r="R21" s="124"/>
      <c r="S21" s="116"/>
      <c r="T21" s="116"/>
      <c r="U21" s="67"/>
      <c r="V21" s="15"/>
      <c r="W21" s="3"/>
    </row>
    <row r="22" spans="1:23">
      <c r="A22" s="96"/>
      <c r="B22" s="97"/>
      <c r="C22" s="4" t="s">
        <v>49</v>
      </c>
      <c r="D22" s="96"/>
      <c r="E22" s="4">
        <v>24</v>
      </c>
      <c r="F22" s="4"/>
      <c r="G22" s="96"/>
      <c r="H22" s="4"/>
      <c r="I22" s="4">
        <v>100</v>
      </c>
      <c r="J22" s="4">
        <f t="shared" si="0"/>
        <v>1.72</v>
      </c>
      <c r="K22" s="4">
        <v>84</v>
      </c>
      <c r="L22" s="4">
        <v>1.1599999999999999</v>
      </c>
      <c r="M22" s="4">
        <v>2.88</v>
      </c>
      <c r="N22" s="12">
        <v>0.08</v>
      </c>
      <c r="O22" s="4" t="s">
        <v>97</v>
      </c>
      <c r="P22" s="4" t="s">
        <v>116</v>
      </c>
      <c r="Q22" s="97"/>
      <c r="R22" s="111"/>
      <c r="S22" s="117"/>
      <c r="T22" s="117"/>
      <c r="U22" s="20"/>
      <c r="V22" s="15"/>
      <c r="W22" s="3"/>
    </row>
    <row r="23" spans="1:23" ht="51">
      <c r="A23" s="96"/>
      <c r="B23" s="5" t="s">
        <v>125</v>
      </c>
      <c r="C23" s="4" t="s">
        <v>28</v>
      </c>
      <c r="D23" s="96"/>
      <c r="E23" s="4">
        <v>2</v>
      </c>
      <c r="F23" s="4"/>
      <c r="G23" s="4"/>
      <c r="H23" s="4"/>
      <c r="I23" s="4">
        <v>100</v>
      </c>
      <c r="J23" s="4">
        <v>0.54</v>
      </c>
      <c r="K23" s="4">
        <v>36</v>
      </c>
      <c r="L23" s="4">
        <v>2.5000000000000001E-2</v>
      </c>
      <c r="M23" s="4">
        <v>0.67</v>
      </c>
      <c r="N23" s="12">
        <v>0.08</v>
      </c>
      <c r="O23" s="4" t="s">
        <v>97</v>
      </c>
      <c r="P23" s="4" t="s">
        <v>116</v>
      </c>
      <c r="Q23" s="97"/>
      <c r="R23" s="8" t="s">
        <v>126</v>
      </c>
      <c r="S23" s="11" t="s">
        <v>127</v>
      </c>
      <c r="T23" s="15" t="s">
        <v>128</v>
      </c>
      <c r="U23" s="15"/>
      <c r="V23" s="15"/>
      <c r="W23" s="3"/>
    </row>
    <row r="24" spans="1:23" ht="51">
      <c r="A24" s="96" t="s">
        <v>129</v>
      </c>
      <c r="B24" s="5" t="s">
        <v>130</v>
      </c>
      <c r="C24" s="4" t="s">
        <v>108</v>
      </c>
      <c r="D24" s="98" t="s">
        <v>95</v>
      </c>
      <c r="E24" s="4" t="s">
        <v>131</v>
      </c>
      <c r="F24" s="4"/>
      <c r="G24" s="4"/>
      <c r="H24" s="4" t="s">
        <v>96</v>
      </c>
      <c r="I24" s="4">
        <v>70</v>
      </c>
      <c r="J24" s="4">
        <f t="shared" si="0"/>
        <v>0.67999999999999994</v>
      </c>
      <c r="K24" s="4">
        <v>105</v>
      </c>
      <c r="L24" s="4">
        <v>1.2</v>
      </c>
      <c r="M24" s="4">
        <v>1.88</v>
      </c>
      <c r="N24" s="12">
        <v>0.1</v>
      </c>
      <c r="O24" s="48">
        <v>3.96</v>
      </c>
      <c r="P24" s="48">
        <v>320</v>
      </c>
      <c r="Q24" s="106" t="s">
        <v>132</v>
      </c>
      <c r="R24" s="8" t="s">
        <v>133</v>
      </c>
      <c r="S24" s="11" t="s">
        <v>134</v>
      </c>
      <c r="T24" s="15" t="s">
        <v>135</v>
      </c>
      <c r="U24" s="15"/>
      <c r="V24" s="15"/>
      <c r="W24" s="3"/>
    </row>
    <row r="25" spans="1:23" ht="141.75">
      <c r="A25" s="96"/>
      <c r="B25" s="5" t="s">
        <v>136</v>
      </c>
      <c r="C25" s="4" t="s">
        <v>28</v>
      </c>
      <c r="D25" s="100"/>
      <c r="E25" s="4">
        <v>9.15</v>
      </c>
      <c r="F25" s="4"/>
      <c r="G25" s="4" t="s">
        <v>137</v>
      </c>
      <c r="H25" s="4"/>
      <c r="I25" s="4">
        <v>100</v>
      </c>
      <c r="J25" s="4">
        <f t="shared" si="0"/>
        <v>0.68</v>
      </c>
      <c r="K25" s="4">
        <v>78</v>
      </c>
      <c r="L25" s="4">
        <v>0.88</v>
      </c>
      <c r="M25" s="4">
        <v>1.56</v>
      </c>
      <c r="N25" s="12">
        <v>0.1</v>
      </c>
      <c r="O25" s="48">
        <v>3.96</v>
      </c>
      <c r="P25" s="50">
        <v>303</v>
      </c>
      <c r="Q25" s="118"/>
      <c r="R25" s="8" t="s">
        <v>138</v>
      </c>
      <c r="S25" s="11" t="s">
        <v>139</v>
      </c>
      <c r="T25" s="15" t="s">
        <v>140</v>
      </c>
      <c r="U25" s="15"/>
      <c r="V25" s="15"/>
      <c r="W25" s="3"/>
    </row>
    <row r="26" spans="1:23" ht="30.95" customHeight="1">
      <c r="A26" s="96"/>
      <c r="B26" s="97" t="s">
        <v>141</v>
      </c>
      <c r="C26" s="4" t="s">
        <v>28</v>
      </c>
      <c r="D26" s="100"/>
      <c r="E26" s="4">
        <v>45.45</v>
      </c>
      <c r="F26" s="4"/>
      <c r="G26" s="4" t="s">
        <v>142</v>
      </c>
      <c r="H26" s="4"/>
      <c r="I26" s="4">
        <v>100</v>
      </c>
      <c r="J26" s="4">
        <v>0.68</v>
      </c>
      <c r="K26" s="4">
        <v>97.5</v>
      </c>
      <c r="L26" s="4">
        <v>1.96</v>
      </c>
      <c r="M26" s="4">
        <v>2.44</v>
      </c>
      <c r="N26" s="114">
        <v>0.1</v>
      </c>
      <c r="O26" s="50">
        <v>3.96</v>
      </c>
      <c r="P26" s="50">
        <v>303</v>
      </c>
      <c r="Q26" s="118"/>
      <c r="R26" s="8" t="s">
        <v>143</v>
      </c>
      <c r="S26" s="110" t="s">
        <v>144</v>
      </c>
      <c r="T26" s="110" t="s">
        <v>145</v>
      </c>
      <c r="U26" s="19"/>
      <c r="V26" s="15"/>
      <c r="W26" s="3"/>
    </row>
    <row r="27" spans="1:23" ht="31.5">
      <c r="A27" s="96"/>
      <c r="B27" s="97"/>
      <c r="C27" s="4" t="s">
        <v>28</v>
      </c>
      <c r="D27" s="100"/>
      <c r="E27" s="4">
        <v>48.14</v>
      </c>
      <c r="F27" s="4"/>
      <c r="G27" s="4" t="s">
        <v>142</v>
      </c>
      <c r="H27" s="4"/>
      <c r="I27" s="4">
        <v>100</v>
      </c>
      <c r="J27" s="4">
        <f t="shared" si="0"/>
        <v>0.68000000000000016</v>
      </c>
      <c r="K27" s="4">
        <v>97.5</v>
      </c>
      <c r="L27" s="4">
        <v>2.2999999999999998</v>
      </c>
      <c r="M27" s="4">
        <v>2.98</v>
      </c>
      <c r="N27" s="114"/>
      <c r="O27" s="50">
        <v>3.96</v>
      </c>
      <c r="P27" s="50">
        <v>303</v>
      </c>
      <c r="Q27" s="118"/>
      <c r="R27" s="8"/>
      <c r="S27" s="116"/>
      <c r="T27" s="116"/>
      <c r="U27" s="67"/>
      <c r="V27" s="15"/>
      <c r="W27" s="3"/>
    </row>
    <row r="28" spans="1:23" ht="31.5">
      <c r="A28" s="96"/>
      <c r="B28" s="97"/>
      <c r="C28" s="4" t="s">
        <v>49</v>
      </c>
      <c r="D28" s="100"/>
      <c r="E28" s="4">
        <v>48.14</v>
      </c>
      <c r="F28" s="4"/>
      <c r="G28" s="4" t="s">
        <v>142</v>
      </c>
      <c r="H28" s="4"/>
      <c r="I28" s="4">
        <v>100</v>
      </c>
      <c r="J28" s="4">
        <v>0.68</v>
      </c>
      <c r="K28" s="4">
        <v>97.5</v>
      </c>
      <c r="L28" s="4">
        <v>2.4700000000000002</v>
      </c>
      <c r="M28" s="4">
        <v>3.31</v>
      </c>
      <c r="N28" s="114"/>
      <c r="O28" s="50">
        <v>3.96</v>
      </c>
      <c r="P28" s="50">
        <v>303</v>
      </c>
      <c r="Q28" s="118"/>
      <c r="R28" s="8"/>
      <c r="S28" s="117"/>
      <c r="T28" s="117"/>
      <c r="U28" s="20"/>
      <c r="V28" s="15"/>
      <c r="W28" s="3"/>
    </row>
    <row r="29" spans="1:23" ht="51">
      <c r="A29" s="96"/>
      <c r="B29" s="5" t="s">
        <v>146</v>
      </c>
      <c r="C29" s="4" t="s">
        <v>28</v>
      </c>
      <c r="D29" s="99"/>
      <c r="E29" s="4" t="s">
        <v>147</v>
      </c>
      <c r="F29" s="4"/>
      <c r="G29" s="4"/>
      <c r="H29" s="4"/>
      <c r="I29" s="4">
        <v>100</v>
      </c>
      <c r="J29" s="4">
        <v>0.68</v>
      </c>
      <c r="K29" s="4">
        <v>156</v>
      </c>
      <c r="L29" s="4">
        <v>1.9</v>
      </c>
      <c r="M29" s="4">
        <v>2.58</v>
      </c>
      <c r="N29" s="12">
        <v>0.1</v>
      </c>
      <c r="O29" s="50">
        <v>3.96</v>
      </c>
      <c r="P29" s="49">
        <v>320</v>
      </c>
      <c r="Q29" s="107"/>
      <c r="R29" s="8" t="s">
        <v>148</v>
      </c>
      <c r="S29" s="11" t="s">
        <v>149</v>
      </c>
      <c r="T29" s="15" t="s">
        <v>150</v>
      </c>
      <c r="U29" s="15"/>
      <c r="V29" s="15"/>
      <c r="W29" s="3"/>
    </row>
    <row r="30" spans="1:23" ht="30.95" customHeight="1">
      <c r="A30" s="96" t="s">
        <v>151</v>
      </c>
      <c r="B30" s="97" t="s">
        <v>152</v>
      </c>
      <c r="C30" s="4" t="s">
        <v>28</v>
      </c>
      <c r="D30" s="98" t="s">
        <v>95</v>
      </c>
      <c r="E30" s="4">
        <v>69.599999999999994</v>
      </c>
      <c r="F30" s="4"/>
      <c r="G30" s="101" t="s">
        <v>115</v>
      </c>
      <c r="H30" s="4" t="s">
        <v>96</v>
      </c>
      <c r="I30" s="4">
        <v>100</v>
      </c>
      <c r="J30" s="4">
        <v>0.45400000000000001</v>
      </c>
      <c r="K30" s="4">
        <v>69.599999999999994</v>
      </c>
      <c r="L30" s="4">
        <v>1.7</v>
      </c>
      <c r="M30" s="4">
        <v>2.06</v>
      </c>
      <c r="N30" s="12">
        <v>0.08</v>
      </c>
      <c r="O30" s="48" t="s">
        <v>153</v>
      </c>
      <c r="P30" s="48">
        <v>464</v>
      </c>
      <c r="Q30" s="106" t="s">
        <v>35</v>
      </c>
      <c r="R30" s="8" t="s">
        <v>154</v>
      </c>
      <c r="S30" s="110" t="s">
        <v>155</v>
      </c>
      <c r="T30" s="110" t="s">
        <v>156</v>
      </c>
      <c r="U30" s="55"/>
      <c r="V30" s="110"/>
      <c r="W30" s="3"/>
    </row>
    <row r="31" spans="1:23">
      <c r="A31" s="96"/>
      <c r="B31" s="97"/>
      <c r="C31" s="4" t="s">
        <v>49</v>
      </c>
      <c r="D31" s="100"/>
      <c r="E31" s="4">
        <v>69.599999999999994</v>
      </c>
      <c r="F31" s="4"/>
      <c r="G31" s="101"/>
      <c r="H31" s="4"/>
      <c r="I31" s="4">
        <v>100</v>
      </c>
      <c r="J31" s="4">
        <v>0.45400000000000001</v>
      </c>
      <c r="K31" s="4">
        <v>69.599999999999994</v>
      </c>
      <c r="L31" s="4">
        <v>2.0699999999999998</v>
      </c>
      <c r="M31" s="4">
        <v>2.96</v>
      </c>
      <c r="N31" s="12">
        <v>0.08</v>
      </c>
      <c r="O31" s="48" t="s">
        <v>153</v>
      </c>
      <c r="P31" s="48">
        <v>464</v>
      </c>
      <c r="Q31" s="118"/>
      <c r="R31" s="8"/>
      <c r="S31" s="117"/>
      <c r="T31" s="116"/>
      <c r="U31" s="61"/>
      <c r="V31" s="116"/>
      <c r="W31" s="3"/>
    </row>
    <row r="32" spans="1:23" ht="248.1" customHeight="1">
      <c r="A32" s="96"/>
      <c r="B32" s="97" t="s">
        <v>157</v>
      </c>
      <c r="C32" s="4" t="s">
        <v>28</v>
      </c>
      <c r="D32" s="98" t="s">
        <v>95</v>
      </c>
      <c r="E32" s="4">
        <v>11.6</v>
      </c>
      <c r="F32" s="4"/>
      <c r="G32" s="96" t="s">
        <v>158</v>
      </c>
      <c r="H32" s="4"/>
      <c r="I32" s="4">
        <v>100</v>
      </c>
      <c r="J32" s="4">
        <v>0.64</v>
      </c>
      <c r="K32" s="4">
        <v>40.6</v>
      </c>
      <c r="L32" s="4">
        <v>0.42</v>
      </c>
      <c r="M32" s="4">
        <v>1.06</v>
      </c>
      <c r="N32" s="12">
        <v>0.08</v>
      </c>
      <c r="O32" s="51" t="s">
        <v>159</v>
      </c>
      <c r="P32" s="51" t="s">
        <v>160</v>
      </c>
      <c r="Q32" s="118"/>
      <c r="R32" s="8" t="s">
        <v>161</v>
      </c>
      <c r="S32" s="110" t="s">
        <v>162</v>
      </c>
      <c r="T32" s="116"/>
      <c r="U32" s="61"/>
      <c r="V32" s="116"/>
      <c r="W32" s="3"/>
    </row>
    <row r="33" spans="1:23">
      <c r="A33" s="96"/>
      <c r="B33" s="97"/>
      <c r="C33" s="4" t="s">
        <v>49</v>
      </c>
      <c r="D33" s="100"/>
      <c r="E33" s="4">
        <v>11.6</v>
      </c>
      <c r="F33" s="4"/>
      <c r="G33" s="96"/>
      <c r="H33" s="4"/>
      <c r="I33" s="4">
        <v>100</v>
      </c>
      <c r="J33" s="4">
        <v>0.64</v>
      </c>
      <c r="K33" s="4">
        <v>40.6</v>
      </c>
      <c r="L33" s="4">
        <v>0.45</v>
      </c>
      <c r="M33" s="4">
        <v>2.17</v>
      </c>
      <c r="N33" s="12">
        <v>0.08</v>
      </c>
      <c r="O33" s="51" t="s">
        <v>159</v>
      </c>
      <c r="P33" s="51" t="s">
        <v>160</v>
      </c>
      <c r="Q33" s="118"/>
      <c r="R33" s="8"/>
      <c r="S33" s="117"/>
      <c r="T33" s="116"/>
      <c r="U33" s="61"/>
      <c r="V33" s="116"/>
      <c r="W33" s="3"/>
    </row>
    <row r="34" spans="1:23" ht="47.25">
      <c r="A34" s="96"/>
      <c r="B34" s="5" t="s">
        <v>163</v>
      </c>
      <c r="C34" s="4" t="s">
        <v>28</v>
      </c>
      <c r="D34" s="4" t="s">
        <v>95</v>
      </c>
      <c r="E34" s="4">
        <v>5.8</v>
      </c>
      <c r="F34" s="4"/>
      <c r="G34" s="4" t="s">
        <v>164</v>
      </c>
      <c r="H34" s="4"/>
      <c r="I34" s="4">
        <v>100</v>
      </c>
      <c r="J34" s="4">
        <v>0.63900000000000001</v>
      </c>
      <c r="K34" s="4">
        <v>40.6</v>
      </c>
      <c r="L34" s="4">
        <v>0.17</v>
      </c>
      <c r="M34" s="4">
        <v>0.81</v>
      </c>
      <c r="N34" s="12">
        <v>0.08</v>
      </c>
      <c r="O34" s="4">
        <v>5.8</v>
      </c>
      <c r="P34" s="49">
        <v>464</v>
      </c>
      <c r="Q34" s="107"/>
      <c r="R34" s="8" t="s">
        <v>165</v>
      </c>
      <c r="S34" s="11" t="s">
        <v>162</v>
      </c>
      <c r="T34" s="117"/>
      <c r="U34" s="58"/>
      <c r="V34" s="117"/>
      <c r="W34" s="3"/>
    </row>
    <row r="35" spans="1:23" ht="51">
      <c r="A35" s="4" t="s">
        <v>166</v>
      </c>
      <c r="B35" s="5" t="s">
        <v>167</v>
      </c>
      <c r="C35" s="4" t="s">
        <v>108</v>
      </c>
      <c r="D35" s="4" t="s">
        <v>95</v>
      </c>
      <c r="E35" s="4" t="s">
        <v>168</v>
      </c>
      <c r="F35" s="4"/>
      <c r="G35" s="4"/>
      <c r="H35" s="4" t="s">
        <v>169</v>
      </c>
      <c r="I35" s="4">
        <v>70</v>
      </c>
      <c r="J35" s="4">
        <f t="shared" si="0"/>
        <v>0.55000000000000004</v>
      </c>
      <c r="K35" s="4">
        <v>114.3</v>
      </c>
      <c r="L35" s="4">
        <v>1.49</v>
      </c>
      <c r="M35" s="4">
        <v>2.04</v>
      </c>
      <c r="N35" s="12">
        <v>0.05</v>
      </c>
      <c r="O35" s="6">
        <v>4.1500000000000004</v>
      </c>
      <c r="P35" s="4">
        <v>925</v>
      </c>
      <c r="Q35" s="5" t="s">
        <v>75</v>
      </c>
      <c r="R35" s="8" t="s">
        <v>170</v>
      </c>
      <c r="S35" s="11" t="s">
        <v>171</v>
      </c>
      <c r="T35" s="15" t="s">
        <v>172</v>
      </c>
      <c r="U35" s="15"/>
      <c r="V35" s="15"/>
      <c r="W35" s="5" t="s">
        <v>173</v>
      </c>
    </row>
    <row r="36" spans="1:23" ht="204.75">
      <c r="A36" s="96" t="s">
        <v>174</v>
      </c>
      <c r="B36" s="5" t="s">
        <v>175</v>
      </c>
      <c r="C36" s="4" t="s">
        <v>28</v>
      </c>
      <c r="D36" s="96" t="s">
        <v>95</v>
      </c>
      <c r="E36" s="4">
        <v>65</v>
      </c>
      <c r="F36" s="4"/>
      <c r="G36" s="4" t="s">
        <v>176</v>
      </c>
      <c r="H36" s="4" t="s">
        <v>96</v>
      </c>
      <c r="I36" s="4">
        <v>100</v>
      </c>
      <c r="J36" s="4">
        <f t="shared" si="0"/>
        <v>0.70000000000000018</v>
      </c>
      <c r="K36" s="4">
        <v>75</v>
      </c>
      <c r="L36" s="4">
        <v>1.9</v>
      </c>
      <c r="M36" s="4">
        <v>2.6</v>
      </c>
      <c r="N36" s="12">
        <v>7.0000000000000007E-2</v>
      </c>
      <c r="O36" s="4" t="s">
        <v>177</v>
      </c>
      <c r="P36" s="4" t="s">
        <v>178</v>
      </c>
      <c r="Q36" s="97" t="s">
        <v>179</v>
      </c>
      <c r="R36" s="8" t="s">
        <v>180</v>
      </c>
      <c r="S36" s="11" t="s">
        <v>181</v>
      </c>
      <c r="T36" s="110" t="s">
        <v>182</v>
      </c>
      <c r="U36" s="19"/>
      <c r="V36" s="15"/>
      <c r="W36" s="3"/>
    </row>
    <row r="37" spans="1:23" ht="30.95" customHeight="1">
      <c r="A37" s="96"/>
      <c r="B37" s="97" t="s">
        <v>183</v>
      </c>
      <c r="C37" s="4" t="s">
        <v>184</v>
      </c>
      <c r="D37" s="96"/>
      <c r="E37" s="4">
        <v>10.199999999999999</v>
      </c>
      <c r="F37" s="4"/>
      <c r="G37" s="4" t="s">
        <v>185</v>
      </c>
      <c r="H37" s="4"/>
      <c r="I37" s="4">
        <v>100</v>
      </c>
      <c r="J37" s="4">
        <v>0.7</v>
      </c>
      <c r="K37" s="4">
        <v>95</v>
      </c>
      <c r="L37" s="4">
        <v>0.13</v>
      </c>
      <c r="M37" s="4">
        <v>0.83</v>
      </c>
      <c r="N37" s="12">
        <v>7.0000000000000007E-2</v>
      </c>
      <c r="O37" s="4" t="s">
        <v>177</v>
      </c>
      <c r="P37" s="4" t="s">
        <v>178</v>
      </c>
      <c r="Q37" s="97"/>
      <c r="R37" s="104" t="s">
        <v>186</v>
      </c>
      <c r="S37" s="105" t="s">
        <v>187</v>
      </c>
      <c r="T37" s="116"/>
      <c r="U37" s="67"/>
      <c r="V37" s="19"/>
      <c r="W37" s="3"/>
    </row>
    <row r="38" spans="1:23" ht="31.5">
      <c r="A38" s="96"/>
      <c r="B38" s="97"/>
      <c r="C38" s="4" t="s">
        <v>188</v>
      </c>
      <c r="D38" s="96"/>
      <c r="E38" s="4">
        <v>6</v>
      </c>
      <c r="F38" s="4"/>
      <c r="G38" s="4" t="s">
        <v>142</v>
      </c>
      <c r="H38" s="4"/>
      <c r="I38" s="4">
        <v>100</v>
      </c>
      <c r="J38" s="4">
        <v>0.7</v>
      </c>
      <c r="K38" s="4">
        <v>95</v>
      </c>
      <c r="L38" s="4">
        <v>0.1</v>
      </c>
      <c r="M38" s="4">
        <v>0.8</v>
      </c>
      <c r="N38" s="12">
        <v>7.0000000000000007E-2</v>
      </c>
      <c r="O38" s="4" t="s">
        <v>177</v>
      </c>
      <c r="P38" s="4" t="s">
        <v>178</v>
      </c>
      <c r="Q38" s="97"/>
      <c r="R38" s="104"/>
      <c r="S38" s="105"/>
      <c r="T38" s="117"/>
      <c r="U38" s="20"/>
      <c r="V38" s="20"/>
      <c r="W38" s="3"/>
    </row>
    <row r="39" spans="1:23">
      <c r="A39" s="96" t="s">
        <v>189</v>
      </c>
      <c r="B39" s="97" t="s">
        <v>190</v>
      </c>
      <c r="C39" s="4" t="s">
        <v>28</v>
      </c>
      <c r="D39" s="98" t="s">
        <v>95</v>
      </c>
      <c r="E39" s="98" t="s">
        <v>131</v>
      </c>
      <c r="F39" s="48"/>
      <c r="G39" s="98"/>
      <c r="H39" s="98" t="s">
        <v>96</v>
      </c>
      <c r="I39" s="4">
        <v>100</v>
      </c>
      <c r="J39" s="4">
        <v>0.45</v>
      </c>
      <c r="K39" s="4">
        <v>98.6</v>
      </c>
      <c r="L39" s="4">
        <v>1.47</v>
      </c>
      <c r="M39" s="4">
        <v>1.84</v>
      </c>
      <c r="N39" s="12">
        <v>0.05</v>
      </c>
      <c r="O39" s="4">
        <v>5.8</v>
      </c>
      <c r="P39" s="4">
        <v>2088</v>
      </c>
      <c r="Q39" s="97" t="s">
        <v>191</v>
      </c>
      <c r="R39" s="104" t="s">
        <v>192</v>
      </c>
      <c r="S39" s="105" t="s">
        <v>193</v>
      </c>
      <c r="T39" s="110" t="s">
        <v>194</v>
      </c>
      <c r="U39" s="19"/>
      <c r="V39" s="15"/>
      <c r="W39" s="3"/>
    </row>
    <row r="40" spans="1:23">
      <c r="A40" s="96"/>
      <c r="B40" s="97"/>
      <c r="C40" s="4" t="s">
        <v>49</v>
      </c>
      <c r="D40" s="99"/>
      <c r="E40" s="99"/>
      <c r="F40" s="49"/>
      <c r="G40" s="99"/>
      <c r="H40" s="99"/>
      <c r="I40" s="4">
        <v>100</v>
      </c>
      <c r="J40" s="4">
        <v>0.45</v>
      </c>
      <c r="K40" s="4">
        <v>278</v>
      </c>
      <c r="L40" s="4">
        <v>2.37</v>
      </c>
      <c r="M40" s="4">
        <v>3.74</v>
      </c>
      <c r="N40" s="12">
        <v>0.05</v>
      </c>
      <c r="O40" s="4">
        <v>5.8</v>
      </c>
      <c r="P40" s="4">
        <v>2088</v>
      </c>
      <c r="Q40" s="97"/>
      <c r="R40" s="104"/>
      <c r="S40" s="105"/>
      <c r="T40" s="117"/>
      <c r="U40" s="20"/>
      <c r="V40" s="15"/>
      <c r="W40" s="3"/>
    </row>
    <row r="41" spans="1:23" ht="46.5" customHeight="1">
      <c r="A41" s="96" t="s">
        <v>195</v>
      </c>
      <c r="B41" s="97" t="s">
        <v>196</v>
      </c>
      <c r="C41" s="4" t="s">
        <v>197</v>
      </c>
      <c r="D41" s="96" t="s">
        <v>198</v>
      </c>
      <c r="E41" s="96" t="s">
        <v>31</v>
      </c>
      <c r="F41" s="4"/>
      <c r="G41" s="96"/>
      <c r="H41" s="98" t="s">
        <v>96</v>
      </c>
      <c r="I41" s="4">
        <v>50</v>
      </c>
      <c r="J41" s="4">
        <f t="shared" si="0"/>
        <v>0.44999999999999973</v>
      </c>
      <c r="K41" s="4">
        <v>50</v>
      </c>
      <c r="L41" s="4">
        <v>2.16</v>
      </c>
      <c r="M41" s="4">
        <v>2.61</v>
      </c>
      <c r="N41" s="12">
        <v>0.1</v>
      </c>
      <c r="O41" s="4">
        <v>2</v>
      </c>
      <c r="P41" s="4">
        <v>496</v>
      </c>
      <c r="Q41" s="97" t="s">
        <v>99</v>
      </c>
      <c r="R41" s="123" t="s">
        <v>199</v>
      </c>
      <c r="S41" s="110" t="s">
        <v>200</v>
      </c>
      <c r="T41" s="110" t="s">
        <v>201</v>
      </c>
      <c r="U41" s="19"/>
      <c r="V41" s="15"/>
      <c r="W41" s="3"/>
    </row>
    <row r="42" spans="1:23">
      <c r="A42" s="96"/>
      <c r="B42" s="97"/>
      <c r="C42" s="4" t="s">
        <v>108</v>
      </c>
      <c r="D42" s="96"/>
      <c r="E42" s="96"/>
      <c r="F42" s="4"/>
      <c r="G42" s="96"/>
      <c r="H42" s="99"/>
      <c r="I42" s="4">
        <v>70</v>
      </c>
      <c r="J42" s="4">
        <v>0.45</v>
      </c>
      <c r="K42" s="4">
        <v>50</v>
      </c>
      <c r="L42" s="4">
        <v>4.0999999999999996</v>
      </c>
      <c r="M42" s="4">
        <v>4.5999999999999996</v>
      </c>
      <c r="N42" s="12">
        <v>0.1</v>
      </c>
      <c r="O42" s="4">
        <v>2</v>
      </c>
      <c r="P42" s="4">
        <v>496</v>
      </c>
      <c r="Q42" s="97"/>
      <c r="R42" s="111"/>
      <c r="S42" s="117"/>
      <c r="T42" s="117"/>
      <c r="U42" s="20"/>
      <c r="V42" s="15"/>
      <c r="W42" s="3"/>
    </row>
    <row r="43" spans="1:23" ht="51">
      <c r="A43" s="4" t="s">
        <v>202</v>
      </c>
      <c r="B43" s="5" t="s">
        <v>203</v>
      </c>
      <c r="C43" s="4" t="s">
        <v>197</v>
      </c>
      <c r="D43" s="4" t="s">
        <v>198</v>
      </c>
      <c r="E43" s="24" t="s">
        <v>31</v>
      </c>
      <c r="F43" s="24"/>
      <c r="G43" s="4"/>
      <c r="H43" s="4" t="s">
        <v>96</v>
      </c>
      <c r="I43" s="4">
        <v>50</v>
      </c>
      <c r="J43" s="4">
        <f t="shared" si="0"/>
        <v>0.58000000000000007</v>
      </c>
      <c r="K43" s="4">
        <v>45</v>
      </c>
      <c r="L43" s="4">
        <v>2.2799999999999998</v>
      </c>
      <c r="M43" s="4">
        <v>2.86</v>
      </c>
      <c r="N43" s="12">
        <v>0.1</v>
      </c>
      <c r="O43" s="4">
        <v>2</v>
      </c>
      <c r="P43" s="4">
        <v>580</v>
      </c>
      <c r="Q43" s="5" t="s">
        <v>204</v>
      </c>
      <c r="R43" s="8" t="s">
        <v>205</v>
      </c>
      <c r="S43" s="11" t="s">
        <v>206</v>
      </c>
      <c r="T43" s="15" t="s">
        <v>207</v>
      </c>
      <c r="U43" s="15"/>
      <c r="V43" s="15"/>
      <c r="W43" s="3"/>
    </row>
    <row r="44" spans="1:23" ht="30.95" customHeight="1">
      <c r="A44" s="96" t="s">
        <v>208</v>
      </c>
      <c r="B44" s="97" t="s">
        <v>209</v>
      </c>
      <c r="C44" s="4" t="s">
        <v>197</v>
      </c>
      <c r="D44" s="96" t="s">
        <v>198</v>
      </c>
      <c r="E44" s="98" t="s">
        <v>168</v>
      </c>
      <c r="F44" s="48"/>
      <c r="G44" s="98"/>
      <c r="H44" s="98" t="s">
        <v>96</v>
      </c>
      <c r="I44" s="4">
        <v>50</v>
      </c>
      <c r="J44" s="4">
        <v>0.56999999999999995</v>
      </c>
      <c r="K44" s="4">
        <v>48</v>
      </c>
      <c r="L44" s="4">
        <v>1.8</v>
      </c>
      <c r="M44" s="4">
        <v>2.2999999999999998</v>
      </c>
      <c r="N44" s="12">
        <v>0.1</v>
      </c>
      <c r="O44" s="48">
        <v>1.92</v>
      </c>
      <c r="P44" s="48">
        <v>688</v>
      </c>
      <c r="Q44" s="106" t="s">
        <v>35</v>
      </c>
      <c r="R44" s="123" t="s">
        <v>210</v>
      </c>
      <c r="S44" s="110" t="s">
        <v>211</v>
      </c>
      <c r="T44" s="110" t="s">
        <v>212</v>
      </c>
      <c r="U44" s="19"/>
      <c r="V44" s="15"/>
      <c r="W44" s="3"/>
    </row>
    <row r="45" spans="1:23">
      <c r="A45" s="96"/>
      <c r="B45" s="97"/>
      <c r="C45" s="4" t="s">
        <v>108</v>
      </c>
      <c r="D45" s="96"/>
      <c r="E45" s="99"/>
      <c r="F45" s="49"/>
      <c r="G45" s="99"/>
      <c r="H45" s="99"/>
      <c r="I45" s="4">
        <v>70</v>
      </c>
      <c r="J45" s="4">
        <v>0.56999999999999995</v>
      </c>
      <c r="K45" s="4">
        <v>48</v>
      </c>
      <c r="L45" s="4">
        <v>3.6</v>
      </c>
      <c r="M45" s="4">
        <v>4.0999999999999996</v>
      </c>
      <c r="N45" s="12">
        <v>0.1</v>
      </c>
      <c r="O45" s="49">
        <v>1.92</v>
      </c>
      <c r="P45" s="49">
        <v>688</v>
      </c>
      <c r="Q45" s="107"/>
      <c r="R45" s="111"/>
      <c r="S45" s="117"/>
      <c r="T45" s="117"/>
      <c r="U45" s="20"/>
      <c r="V45" s="15"/>
      <c r="W45" s="3"/>
    </row>
    <row r="46" spans="1:23" ht="51">
      <c r="A46" s="4" t="s">
        <v>213</v>
      </c>
      <c r="B46" s="5" t="s">
        <v>214</v>
      </c>
      <c r="C46" s="4" t="s">
        <v>197</v>
      </c>
      <c r="D46" s="4" t="s">
        <v>198</v>
      </c>
      <c r="E46" s="4" t="s">
        <v>168</v>
      </c>
      <c r="F46" s="4"/>
      <c r="G46" s="4"/>
      <c r="H46" s="4" t="s">
        <v>96</v>
      </c>
      <c r="I46" s="4">
        <v>50</v>
      </c>
      <c r="J46" s="4">
        <f t="shared" si="0"/>
        <v>0.59999999999999964</v>
      </c>
      <c r="K46" s="4">
        <v>52</v>
      </c>
      <c r="L46" s="4">
        <v>2.2000000000000002</v>
      </c>
      <c r="M46" s="4">
        <v>2.8</v>
      </c>
      <c r="N46" s="12">
        <v>0.05</v>
      </c>
      <c r="O46" s="4">
        <v>2.2000000000000002</v>
      </c>
      <c r="P46" s="4">
        <v>611</v>
      </c>
      <c r="Q46" s="5" t="s">
        <v>215</v>
      </c>
      <c r="R46" s="8" t="s">
        <v>216</v>
      </c>
      <c r="S46" s="11" t="s">
        <v>217</v>
      </c>
      <c r="T46" s="15" t="s">
        <v>218</v>
      </c>
      <c r="U46" s="15"/>
      <c r="V46" s="15"/>
      <c r="W46" s="3"/>
    </row>
    <row r="47" spans="1:23" ht="51">
      <c r="A47" s="4" t="s">
        <v>219</v>
      </c>
      <c r="B47" s="5" t="s">
        <v>220</v>
      </c>
      <c r="C47" s="4" t="s">
        <v>28</v>
      </c>
      <c r="D47" s="4" t="s">
        <v>221</v>
      </c>
      <c r="E47" s="4" t="s">
        <v>31</v>
      </c>
      <c r="F47" s="4"/>
      <c r="G47" s="4"/>
      <c r="H47" s="4" t="s">
        <v>96</v>
      </c>
      <c r="I47" s="4">
        <v>80</v>
      </c>
      <c r="J47" s="4">
        <f t="shared" si="0"/>
        <v>0.61</v>
      </c>
      <c r="K47" s="4">
        <v>30.5</v>
      </c>
      <c r="L47" s="4">
        <v>0.61</v>
      </c>
      <c r="M47" s="4">
        <v>1.22</v>
      </c>
      <c r="N47" s="12">
        <v>7.0000000000000007E-2</v>
      </c>
      <c r="O47" s="4" t="s">
        <v>222</v>
      </c>
      <c r="P47" s="4" t="s">
        <v>223</v>
      </c>
      <c r="Q47" s="5" t="s">
        <v>224</v>
      </c>
      <c r="R47" s="8" t="s">
        <v>225</v>
      </c>
      <c r="S47" s="11" t="s">
        <v>226</v>
      </c>
      <c r="T47" s="15" t="s">
        <v>227</v>
      </c>
      <c r="U47" s="15"/>
      <c r="V47" s="15"/>
      <c r="W47" s="3"/>
    </row>
    <row r="48" spans="1:23" ht="30.95" customHeight="1">
      <c r="A48" s="96" t="s">
        <v>228</v>
      </c>
      <c r="B48" s="97" t="s">
        <v>229</v>
      </c>
      <c r="C48" s="4" t="s">
        <v>28</v>
      </c>
      <c r="D48" s="96" t="s">
        <v>230</v>
      </c>
      <c r="E48" s="96" t="s">
        <v>43</v>
      </c>
      <c r="F48" s="48"/>
      <c r="G48" s="98"/>
      <c r="H48" s="98" t="s">
        <v>96</v>
      </c>
      <c r="I48" s="4">
        <v>100</v>
      </c>
      <c r="J48" s="4">
        <v>0.3</v>
      </c>
      <c r="K48" s="4">
        <v>108</v>
      </c>
      <c r="L48" s="4">
        <v>1.31</v>
      </c>
      <c r="M48" s="4">
        <v>1.56</v>
      </c>
      <c r="N48" s="12">
        <v>0.1</v>
      </c>
      <c r="O48" s="48">
        <v>12</v>
      </c>
      <c r="P48" s="48">
        <v>3270</v>
      </c>
      <c r="Q48" s="106" t="s">
        <v>231</v>
      </c>
      <c r="R48" s="123" t="s">
        <v>232</v>
      </c>
      <c r="S48" s="110" t="s">
        <v>233</v>
      </c>
      <c r="T48" s="110" t="s">
        <v>234</v>
      </c>
      <c r="U48" s="19"/>
      <c r="V48" s="15"/>
      <c r="W48" s="3"/>
    </row>
    <row r="49" spans="1:23">
      <c r="A49" s="96"/>
      <c r="B49" s="97"/>
      <c r="C49" s="4" t="s">
        <v>49</v>
      </c>
      <c r="D49" s="96"/>
      <c r="E49" s="96"/>
      <c r="F49" s="49"/>
      <c r="G49" s="99"/>
      <c r="H49" s="99"/>
      <c r="I49" s="4">
        <v>100</v>
      </c>
      <c r="J49" s="4">
        <v>0.3</v>
      </c>
      <c r="K49" s="4">
        <v>156</v>
      </c>
      <c r="L49" s="4">
        <v>1.7</v>
      </c>
      <c r="M49" s="4">
        <v>3.23</v>
      </c>
      <c r="N49" s="12">
        <v>0.1</v>
      </c>
      <c r="O49" s="49">
        <v>12</v>
      </c>
      <c r="P49" s="48">
        <v>3270</v>
      </c>
      <c r="Q49" s="107"/>
      <c r="R49" s="111"/>
      <c r="S49" s="117"/>
      <c r="T49" s="117"/>
      <c r="U49" s="20"/>
      <c r="V49" s="15"/>
      <c r="W49" s="3"/>
    </row>
    <row r="50" spans="1:23" ht="51">
      <c r="A50" s="4" t="s">
        <v>235</v>
      </c>
      <c r="B50" s="5" t="s">
        <v>236</v>
      </c>
      <c r="C50" s="4" t="s">
        <v>28</v>
      </c>
      <c r="D50" s="4" t="s">
        <v>237</v>
      </c>
      <c r="E50" s="4">
        <v>4</v>
      </c>
      <c r="F50" s="4"/>
      <c r="G50" s="4" t="s">
        <v>238</v>
      </c>
      <c r="H50" s="4" t="s">
        <v>96</v>
      </c>
      <c r="I50" s="4">
        <v>100</v>
      </c>
      <c r="J50" s="4">
        <f t="shared" si="0"/>
        <v>0.3</v>
      </c>
      <c r="K50" s="4">
        <v>60</v>
      </c>
      <c r="L50" s="4">
        <v>0.3</v>
      </c>
      <c r="M50" s="4">
        <v>0.6</v>
      </c>
      <c r="N50" s="12">
        <v>0.1</v>
      </c>
      <c r="O50" s="4">
        <v>12</v>
      </c>
      <c r="P50" s="4">
        <v>3270</v>
      </c>
      <c r="Q50" s="5" t="s">
        <v>231</v>
      </c>
      <c r="R50" s="8" t="s">
        <v>232</v>
      </c>
      <c r="S50" s="11" t="s">
        <v>239</v>
      </c>
      <c r="T50" s="15" t="s">
        <v>240</v>
      </c>
      <c r="U50" s="15"/>
      <c r="V50" s="15"/>
      <c r="W50" s="3"/>
    </row>
    <row r="51" spans="1:23" ht="51">
      <c r="A51" s="4" t="s">
        <v>241</v>
      </c>
      <c r="B51" s="5" t="s">
        <v>242</v>
      </c>
      <c r="C51" s="4" t="s">
        <v>243</v>
      </c>
      <c r="D51" s="4" t="s">
        <v>230</v>
      </c>
      <c r="E51" s="4" t="s">
        <v>43</v>
      </c>
      <c r="F51" s="4"/>
      <c r="G51" s="4"/>
      <c r="H51" s="4" t="s">
        <v>96</v>
      </c>
      <c r="I51" s="4">
        <v>100</v>
      </c>
      <c r="J51" s="4">
        <f t="shared" si="0"/>
        <v>0.30000000000000004</v>
      </c>
      <c r="K51" s="4">
        <v>109</v>
      </c>
      <c r="L51" s="4">
        <v>1.21</v>
      </c>
      <c r="M51" s="4">
        <v>1.51</v>
      </c>
      <c r="N51" s="12">
        <v>0.1</v>
      </c>
      <c r="O51" s="4">
        <v>4.03</v>
      </c>
      <c r="P51" s="4">
        <v>1110</v>
      </c>
      <c r="Q51" s="5" t="s">
        <v>231</v>
      </c>
      <c r="R51" s="8" t="s">
        <v>232</v>
      </c>
      <c r="S51" s="11" t="s">
        <v>244</v>
      </c>
      <c r="T51" s="15" t="s">
        <v>245</v>
      </c>
      <c r="U51" s="15"/>
      <c r="V51" s="15"/>
      <c r="W51" s="3"/>
    </row>
    <row r="52" spans="1:23" ht="47.25">
      <c r="A52" s="98" t="s">
        <v>246</v>
      </c>
      <c r="B52" s="97" t="s">
        <v>247</v>
      </c>
      <c r="C52" s="4" t="s">
        <v>28</v>
      </c>
      <c r="D52" s="96" t="s">
        <v>230</v>
      </c>
      <c r="E52" s="96" t="s">
        <v>43</v>
      </c>
      <c r="F52" s="48"/>
      <c r="G52" s="98"/>
      <c r="H52" s="4" t="s">
        <v>32</v>
      </c>
      <c r="I52" s="98">
        <v>100</v>
      </c>
      <c r="J52" s="4">
        <v>0.62</v>
      </c>
      <c r="K52" s="4">
        <v>102</v>
      </c>
      <c r="L52" s="4">
        <v>0.4</v>
      </c>
      <c r="M52" s="4">
        <v>1</v>
      </c>
      <c r="N52" s="12">
        <v>0.1</v>
      </c>
      <c r="O52" s="48">
        <v>6</v>
      </c>
      <c r="P52" s="48">
        <v>4780</v>
      </c>
      <c r="Q52" s="106" t="s">
        <v>231</v>
      </c>
      <c r="R52" s="123" t="s">
        <v>232</v>
      </c>
      <c r="S52" s="110" t="s">
        <v>248</v>
      </c>
      <c r="T52" s="112" t="s">
        <v>249</v>
      </c>
      <c r="U52" s="68"/>
      <c r="V52" s="15"/>
      <c r="W52" s="5" t="s">
        <v>68</v>
      </c>
    </row>
    <row r="53" spans="1:23">
      <c r="A53" s="99"/>
      <c r="B53" s="97"/>
      <c r="C53" s="4" t="s">
        <v>250</v>
      </c>
      <c r="D53" s="96"/>
      <c r="E53" s="96"/>
      <c r="F53" s="49"/>
      <c r="G53" s="99"/>
      <c r="H53" s="3"/>
      <c r="I53" s="99"/>
      <c r="J53" s="3">
        <v>0.62</v>
      </c>
      <c r="K53" s="3">
        <v>102</v>
      </c>
      <c r="L53" s="3">
        <v>1.58</v>
      </c>
      <c r="M53" s="3">
        <v>2.29</v>
      </c>
      <c r="N53" s="25">
        <v>0.1</v>
      </c>
      <c r="O53" s="52">
        <v>6</v>
      </c>
      <c r="P53" s="48">
        <v>4780</v>
      </c>
      <c r="Q53" s="107"/>
      <c r="R53" s="111"/>
      <c r="S53" s="117"/>
      <c r="T53" s="127"/>
      <c r="U53" s="72"/>
    </row>
  </sheetData>
  <mergeCells count="128">
    <mergeCell ref="V4:V5"/>
    <mergeCell ref="V6:V7"/>
    <mergeCell ref="V8:V9"/>
    <mergeCell ref="G52:G53"/>
    <mergeCell ref="I52:I53"/>
    <mergeCell ref="Q52:Q53"/>
    <mergeCell ref="R52:R53"/>
    <mergeCell ref="S52:S53"/>
    <mergeCell ref="T52:T53"/>
    <mergeCell ref="G48:G49"/>
    <mergeCell ref="H48:H49"/>
    <mergeCell ref="Q48:Q49"/>
    <mergeCell ref="R48:R49"/>
    <mergeCell ref="S48:S49"/>
    <mergeCell ref="T48:T49"/>
    <mergeCell ref="G44:G45"/>
    <mergeCell ref="H44:H45"/>
    <mergeCell ref="Q44:Q45"/>
    <mergeCell ref="R44:R45"/>
    <mergeCell ref="T39:T40"/>
    <mergeCell ref="H41:H42"/>
    <mergeCell ref="S41:S42"/>
    <mergeCell ref="R41:R42"/>
    <mergeCell ref="T41:T42"/>
    <mergeCell ref="S44:S45"/>
    <mergeCell ref="T44:T45"/>
    <mergeCell ref="Q39:Q40"/>
    <mergeCell ref="R39:R40"/>
    <mergeCell ref="S39:S40"/>
    <mergeCell ref="G39:G40"/>
    <mergeCell ref="H39:H40"/>
    <mergeCell ref="G41:G42"/>
    <mergeCell ref="Q41:Q42"/>
    <mergeCell ref="V30:V34"/>
    <mergeCell ref="Q24:Q29"/>
    <mergeCell ref="Q30:Q34"/>
    <mergeCell ref="Q6:Q7"/>
    <mergeCell ref="T36:T38"/>
    <mergeCell ref="S30:S31"/>
    <mergeCell ref="S32:S33"/>
    <mergeCell ref="T30:T34"/>
    <mergeCell ref="T13:T16"/>
    <mergeCell ref="T17:T19"/>
    <mergeCell ref="T20:T22"/>
    <mergeCell ref="S26:S28"/>
    <mergeCell ref="T26:T28"/>
    <mergeCell ref="R37:R38"/>
    <mergeCell ref="S37:S38"/>
    <mergeCell ref="Q36:Q38"/>
    <mergeCell ref="S17:S19"/>
    <mergeCell ref="S20:S22"/>
    <mergeCell ref="R20:R22"/>
    <mergeCell ref="T4:T5"/>
    <mergeCell ref="W4:W5"/>
    <mergeCell ref="T6:T7"/>
    <mergeCell ref="T8:T9"/>
    <mergeCell ref="B32:B33"/>
    <mergeCell ref="G32:G33"/>
    <mergeCell ref="A30:A34"/>
    <mergeCell ref="A36:A38"/>
    <mergeCell ref="B37:B38"/>
    <mergeCell ref="B26:B28"/>
    <mergeCell ref="A24:A29"/>
    <mergeCell ref="N26:N28"/>
    <mergeCell ref="B30:B31"/>
    <mergeCell ref="G30:G31"/>
    <mergeCell ref="S13:S14"/>
    <mergeCell ref="R17:R19"/>
    <mergeCell ref="Q17:Q23"/>
    <mergeCell ref="A13:A16"/>
    <mergeCell ref="B13:B14"/>
    <mergeCell ref="D13:D14"/>
    <mergeCell ref="R13:R14"/>
    <mergeCell ref="Q13:Q16"/>
    <mergeCell ref="B17:B19"/>
    <mergeCell ref="B20:B22"/>
    <mergeCell ref="R1:S1"/>
    <mergeCell ref="B4:B5"/>
    <mergeCell ref="A4:A5"/>
    <mergeCell ref="D4:D5"/>
    <mergeCell ref="R4:R5"/>
    <mergeCell ref="R6:R7"/>
    <mergeCell ref="S6:S7"/>
    <mergeCell ref="S4:S5"/>
    <mergeCell ref="Q4:Q5"/>
    <mergeCell ref="N4:N5"/>
    <mergeCell ref="N6:N7"/>
    <mergeCell ref="G4:G5"/>
    <mergeCell ref="A6:A7"/>
    <mergeCell ref="D6:D7"/>
    <mergeCell ref="B6:B7"/>
    <mergeCell ref="O4:O5"/>
    <mergeCell ref="P4:P5"/>
    <mergeCell ref="O6:O7"/>
    <mergeCell ref="P6:P7"/>
    <mergeCell ref="G20:G22"/>
    <mergeCell ref="G17:G19"/>
    <mergeCell ref="A17:A23"/>
    <mergeCell ref="D17:D23"/>
    <mergeCell ref="Q8:Q9"/>
    <mergeCell ref="D8:D9"/>
    <mergeCell ref="A8:A9"/>
    <mergeCell ref="G8:G9"/>
    <mergeCell ref="B8:B9"/>
    <mergeCell ref="A39:A40"/>
    <mergeCell ref="B41:B42"/>
    <mergeCell ref="A41:A42"/>
    <mergeCell ref="D41:D42"/>
    <mergeCell ref="E41:E42"/>
    <mergeCell ref="A52:A53"/>
    <mergeCell ref="D24:D29"/>
    <mergeCell ref="D39:D40"/>
    <mergeCell ref="E39:E40"/>
    <mergeCell ref="D30:D31"/>
    <mergeCell ref="D32:D33"/>
    <mergeCell ref="E48:E49"/>
    <mergeCell ref="B52:B53"/>
    <mergeCell ref="D52:D53"/>
    <mergeCell ref="E52:E53"/>
    <mergeCell ref="B44:B45"/>
    <mergeCell ref="D44:D45"/>
    <mergeCell ref="A44:A45"/>
    <mergeCell ref="A48:A49"/>
    <mergeCell ref="B48:B49"/>
    <mergeCell ref="D48:D49"/>
    <mergeCell ref="D36:D38"/>
    <mergeCell ref="B39:B40"/>
    <mergeCell ref="E44:E45"/>
  </mergeCells>
  <phoneticPr fontId="8" type="noConversion"/>
  <hyperlinks>
    <hyperlink ref="R3" r:id="rId1" xr:uid="{00000000-0004-0000-0100-000000000000}"/>
    <hyperlink ref="R4" r:id="rId2" xr:uid="{00000000-0004-0000-0100-000001000000}"/>
    <hyperlink ref="R6" r:id="rId3" xr:uid="{00000000-0004-0000-0100-000002000000}"/>
    <hyperlink ref="R8" r:id="rId4" xr:uid="{00000000-0004-0000-0100-000003000000}"/>
    <hyperlink ref="R9" r:id="rId5" xr:uid="{00000000-0004-0000-0100-000004000000}"/>
    <hyperlink ref="R10" r:id="rId6" xr:uid="{00000000-0004-0000-0100-000005000000}"/>
    <hyperlink ref="R11" r:id="rId7" xr:uid="{00000000-0004-0000-0100-000006000000}"/>
    <hyperlink ref="R12" r:id="rId8" xr:uid="{00000000-0004-0000-0100-000007000000}"/>
    <hyperlink ref="R13" r:id="rId9" xr:uid="{00000000-0004-0000-0100-000008000000}"/>
    <hyperlink ref="R15" r:id="rId10" xr:uid="{00000000-0004-0000-0100-000009000000}"/>
    <hyperlink ref="R16" r:id="rId11" xr:uid="{00000000-0004-0000-0100-00000A000000}"/>
    <hyperlink ref="R17" r:id="rId12" xr:uid="{00000000-0004-0000-0100-00000B000000}"/>
    <hyperlink ref="R20" r:id="rId13" xr:uid="{00000000-0004-0000-0100-00000C000000}"/>
    <hyperlink ref="R23" r:id="rId14" xr:uid="{00000000-0004-0000-0100-00000D000000}"/>
    <hyperlink ref="R24" r:id="rId15" xr:uid="{00000000-0004-0000-0100-00000E000000}"/>
    <hyperlink ref="R25" r:id="rId16" xr:uid="{00000000-0004-0000-0100-00000F000000}"/>
    <hyperlink ref="R26" r:id="rId17" xr:uid="{00000000-0004-0000-0100-000010000000}"/>
    <hyperlink ref="R29" r:id="rId18" xr:uid="{00000000-0004-0000-0100-000011000000}"/>
    <hyperlink ref="R30" r:id="rId19" xr:uid="{00000000-0004-0000-0100-000012000000}"/>
    <hyperlink ref="R32" r:id="rId20" xr:uid="{00000000-0004-0000-0100-000013000000}"/>
    <hyperlink ref="R34" r:id="rId21" xr:uid="{00000000-0004-0000-0100-000014000000}"/>
    <hyperlink ref="R35" r:id="rId22" xr:uid="{00000000-0004-0000-0100-000015000000}"/>
    <hyperlink ref="R36" r:id="rId23" xr:uid="{00000000-0004-0000-0100-000016000000}"/>
    <hyperlink ref="R37" r:id="rId24" xr:uid="{00000000-0004-0000-0100-000017000000}"/>
    <hyperlink ref="R39" r:id="rId25" xr:uid="{00000000-0004-0000-0100-000018000000}"/>
    <hyperlink ref="R41" r:id="rId26" xr:uid="{00000000-0004-0000-0100-000019000000}"/>
    <hyperlink ref="R43" r:id="rId27" xr:uid="{00000000-0004-0000-0100-00001A000000}"/>
    <hyperlink ref="R44" r:id="rId28" xr:uid="{00000000-0004-0000-0100-00001B000000}"/>
    <hyperlink ref="R46" r:id="rId29" xr:uid="{00000000-0004-0000-0100-00001C000000}"/>
    <hyperlink ref="R47" r:id="rId30" xr:uid="{00000000-0004-0000-0100-00001D000000}"/>
    <hyperlink ref="R48" r:id="rId31" xr:uid="{00000000-0004-0000-0100-00001E000000}"/>
    <hyperlink ref="R50" r:id="rId32" xr:uid="{00000000-0004-0000-0100-00001F000000}"/>
    <hyperlink ref="R51" r:id="rId33" xr:uid="{00000000-0004-0000-0100-000020000000}"/>
    <hyperlink ref="R52" r:id="rId34" xr:uid="{00000000-0004-0000-0100-000021000000}"/>
    <hyperlink ref="S3" r:id="rId35" xr:uid="{BECD4723-F371-49C2-B3FF-D4CEB20E7BAC}"/>
    <hyperlink ref="S9" r:id="rId36" xr:uid="{4BFDBDA7-C789-4C59-ABA9-7AB493E7D3FE}"/>
    <hyperlink ref="S8" r:id="rId37" xr:uid="{A4959446-537E-4ABC-A99D-44C483FA8F0F}"/>
    <hyperlink ref="S10" r:id="rId38" xr:uid="{5FA71470-0564-4466-A990-D7C5CCC4D11C}"/>
    <hyperlink ref="S11" r:id="rId39" xr:uid="{A8B4AFD2-6F65-486E-87D5-7A052062DCBB}"/>
    <hyperlink ref="S12" r:id="rId40" xr:uid="{64D9DFFC-3C86-4C76-A6EA-253903A776F4}"/>
    <hyperlink ref="S16" r:id="rId41" xr:uid="{7D5A5E4E-6054-43F6-88CA-A3782210D21C}"/>
    <hyperlink ref="S13" r:id="rId42" xr:uid="{3F1D3CEE-FDB8-427D-B487-C20B29527F79}"/>
    <hyperlink ref="S15" r:id="rId43" xr:uid="{03CD47F5-9FEB-4557-BCC0-A41CA2F7802A}"/>
    <hyperlink ref="S17" r:id="rId44" xr:uid="{1936DD51-0280-49CE-91BE-A253B282AE86}"/>
    <hyperlink ref="S20" r:id="rId45" xr:uid="{592ADC83-85F7-43E8-AB81-8573DD9D0036}"/>
    <hyperlink ref="S23" r:id="rId46" xr:uid="{73D71AB4-E218-4F42-874E-A01872910EB1}"/>
    <hyperlink ref="S24" r:id="rId47" xr:uid="{9B977EA9-5BAA-4036-82D0-DF7E9B7B533E}"/>
    <hyperlink ref="S25" r:id="rId48" xr:uid="{96119747-6B94-44C8-A3C7-4D9908BEFBFC}"/>
    <hyperlink ref="S26" r:id="rId49" xr:uid="{DAB55CF2-A1E1-482B-8488-8A8546E87F59}"/>
    <hyperlink ref="S29" r:id="rId50" xr:uid="{330CD1D9-784B-4CE1-ACA2-ACBE32D95BF0}"/>
    <hyperlink ref="S30" r:id="rId51" xr:uid="{E76F5BD0-DA63-44A1-BA2E-881FC84B157E}"/>
    <hyperlink ref="S32" r:id="rId52" xr:uid="{B69AD05B-A044-4392-9E74-83CA5A8B248F}"/>
    <hyperlink ref="S34" r:id="rId53" xr:uid="{82BADEC7-4AAE-444D-8030-DE589C87A431}"/>
    <hyperlink ref="S35" r:id="rId54" xr:uid="{2486CA19-30E7-46BD-AB41-11D17FB12218}"/>
    <hyperlink ref="S36" r:id="rId55" xr:uid="{9510A2B8-5B5A-4668-8976-0241FE6E884B}"/>
    <hyperlink ref="S37" r:id="rId56" xr:uid="{1A43C054-731D-4F87-93BC-0125DAC5A9F5}"/>
    <hyperlink ref="S39" r:id="rId57" xr:uid="{C91132F7-854F-4C53-B456-B22409D9F102}"/>
    <hyperlink ref="S41" r:id="rId58" xr:uid="{DEA88BDD-031C-434E-B5CB-CE4E385FD2C8}"/>
    <hyperlink ref="S43" r:id="rId59" xr:uid="{6DB56802-1924-4840-B9AC-4D8A9C5E0924}"/>
    <hyperlink ref="S44" r:id="rId60" xr:uid="{0AF3E285-110E-4401-AC99-F715411C5BC6}"/>
    <hyperlink ref="S46" r:id="rId61" xr:uid="{32DE9059-4824-4665-9716-13078DAB57C5}"/>
    <hyperlink ref="S47" r:id="rId62" xr:uid="{53B1565D-69E2-43EE-933B-0510E9EA7F57}"/>
    <hyperlink ref="S48" r:id="rId63" xr:uid="{40DDE26F-1CA7-4CAB-9C0E-A2E10711F94B}"/>
    <hyperlink ref="S50" r:id="rId64" xr:uid="{3AF86D7E-B326-48F2-9E1F-5B43C75FC6A1}"/>
    <hyperlink ref="S51" r:id="rId65" xr:uid="{5B91ED87-92A3-4A41-85AE-E86CFCD3FBE0}"/>
    <hyperlink ref="S52" r:id="rId66" xr:uid="{D880ECC2-62D7-40AE-A553-8B74B456C8D7}"/>
    <hyperlink ref="T3" r:id="rId67" xr:uid="{CC7D2D28-3EDF-4013-85D4-46A0D5856329}"/>
    <hyperlink ref="T4" r:id="rId68" xr:uid="{5BDF5566-B21E-42DF-B410-052F79CD09FD}"/>
    <hyperlink ref="T6" r:id="rId69" xr:uid="{321CE381-5323-4C7C-9129-F4D7E811CD9E}"/>
    <hyperlink ref="T8" r:id="rId70" xr:uid="{50A85342-535C-4F27-95C4-68FEA964EBBB}"/>
    <hyperlink ref="T10" r:id="rId71" xr:uid="{D1E158E1-E7EE-4C4B-BA94-569D823E4453}"/>
    <hyperlink ref="T11" r:id="rId72" xr:uid="{7885C108-CDBB-45DE-B5C8-959E4B6CC83C}"/>
    <hyperlink ref="T12" r:id="rId73" xr:uid="{88C61188-7FEA-4347-8319-9D0499633C54}"/>
    <hyperlink ref="T13" r:id="rId74" xr:uid="{027AF2D6-8170-4D5F-BAE6-611535F03E93}"/>
    <hyperlink ref="T20" r:id="rId75" xr:uid="{A8D74D5D-38EC-4EA1-80BF-F92AEB2CFAED}"/>
    <hyperlink ref="T23" r:id="rId76" xr:uid="{AF94C683-694B-4B91-BC49-CC18E440ACEB}"/>
    <hyperlink ref="T24" r:id="rId77" xr:uid="{19B51DBD-179B-4261-A611-0741F91C25E0}"/>
    <hyperlink ref="T25" r:id="rId78" xr:uid="{9DA20D75-A872-4636-86A3-73B0796700B4}"/>
    <hyperlink ref="T26" r:id="rId79" xr:uid="{5BA9279B-51F0-4B38-86A5-449375B059CA}"/>
    <hyperlink ref="T29" r:id="rId80" xr:uid="{E7901E70-2B58-4EFD-97D1-2CFA2A048382}"/>
    <hyperlink ref="T30" r:id="rId81" xr:uid="{F164421A-218A-48EE-89BC-E924567E5835}"/>
    <hyperlink ref="T35" r:id="rId82" xr:uid="{9420CB2E-0AAC-4E72-A844-4383AC8C6162}"/>
    <hyperlink ref="T36" r:id="rId83" xr:uid="{B10B687A-79A3-4464-B738-264F4DA0C2C7}"/>
    <hyperlink ref="T39" r:id="rId84" xr:uid="{2F5F5F64-00D0-47B9-95D6-75E70C84886A}"/>
    <hyperlink ref="T41" r:id="rId85" xr:uid="{D5AD6CD0-3741-4DC6-9B00-4DC6BB5822C8}"/>
    <hyperlink ref="T43" r:id="rId86" xr:uid="{CB77EA70-48E1-47EE-BDE4-5D5977B998FC}"/>
    <hyperlink ref="T44" r:id="rId87" xr:uid="{95BAA141-65C4-45C0-B3C5-4AD7B41E042A}"/>
    <hyperlink ref="T46" r:id="rId88" xr:uid="{C1FCD627-0418-43F7-B860-81EEE2C389C6}"/>
    <hyperlink ref="T47" r:id="rId89" xr:uid="{08D52B17-D1AF-4AC9-BB93-620206B77C56}"/>
    <hyperlink ref="T48" r:id="rId90" xr:uid="{FD8F5919-FA21-4B61-9B61-DD897D0942AE}"/>
    <hyperlink ref="T50" r:id="rId91" xr:uid="{83E109A7-1E00-417D-8BE8-9CCCBC6366DD}"/>
    <hyperlink ref="T51" r:id="rId92" xr:uid="{F65F65DF-D630-4055-A505-56BEC278C268}"/>
    <hyperlink ref="T52" r:id="rId93" xr:uid="{042C4808-80FB-4FAC-AE33-951F941585AE}"/>
    <hyperlink ref="S4" r:id="rId94" xr:uid="{D10FA5D6-50FD-469D-8047-6B2089441F13}"/>
    <hyperlink ref="V3" r:id="rId95" xr:uid="{38805F00-07F7-4FB7-A103-26FC9A281D9D}"/>
    <hyperlink ref="V4" r:id="rId96" xr:uid="{EE8EACA3-0F52-49EE-A295-66799D11EB9A}"/>
    <hyperlink ref="V6" r:id="rId97" xr:uid="{646C2DC2-AAC0-45D6-9982-651701CF79AD}"/>
    <hyperlink ref="V8" r:id="rId98" xr:uid="{68311A80-5208-496B-9DC5-CB2F5CD5CB4C}"/>
    <hyperlink ref="V10" r:id="rId99" xr:uid="{7F87E510-8B29-4685-BD39-F4E008C0FCED}"/>
    <hyperlink ref="S6" r:id="rId100" xr:uid="{98512B01-03EA-4F53-B856-EF6A6BC27022}"/>
  </hyperlinks>
  <pageMargins left="0.7" right="0.7" top="0.75" bottom="0.75" header="0.3" footer="0.3"/>
  <pageSetup scale="17" orientation="portrait" horizontalDpi="1200" verticalDpi="1200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9A41-D344-4B4B-AC67-904AC0D40EFD}">
  <dimension ref="A1:E53"/>
  <sheetViews>
    <sheetView workbookViewId="0">
      <selection activeCell="E41" sqref="E41:E42"/>
    </sheetView>
  </sheetViews>
  <sheetFormatPr defaultRowHeight="15.75"/>
  <cols>
    <col min="1" max="1" width="44.42578125" style="6" bestFit="1" customWidth="1"/>
    <col min="2" max="2" width="52.140625" style="6" customWidth="1"/>
    <col min="3" max="3" width="114.42578125" style="6" bestFit="1" customWidth="1"/>
    <col min="4" max="4" width="114.42578125" style="6" customWidth="1"/>
    <col min="5" max="5" width="140.140625" style="6" bestFit="1" customWidth="1"/>
  </cols>
  <sheetData>
    <row r="1" spans="1:5">
      <c r="A1" s="2" t="s">
        <v>0</v>
      </c>
      <c r="B1" s="46" t="s">
        <v>17</v>
      </c>
      <c r="C1" s="47" t="s">
        <v>15</v>
      </c>
      <c r="D1" s="47" t="s">
        <v>251</v>
      </c>
      <c r="E1" s="45" t="s">
        <v>16</v>
      </c>
    </row>
    <row r="2" spans="1:5">
      <c r="A2" s="5" t="s">
        <v>19</v>
      </c>
      <c r="B2" s="14"/>
      <c r="C2" s="7"/>
      <c r="D2" s="14"/>
      <c r="E2" s="14"/>
    </row>
    <row r="3" spans="1:5" ht="25.5">
      <c r="A3" s="4" t="s">
        <v>27</v>
      </c>
      <c r="B3" s="10" t="s">
        <v>252</v>
      </c>
      <c r="C3" s="21" t="s">
        <v>37</v>
      </c>
      <c r="D3" s="18"/>
      <c r="E3" s="10" t="s">
        <v>38</v>
      </c>
    </row>
    <row r="4" spans="1:5">
      <c r="A4" s="96" t="s">
        <v>42</v>
      </c>
      <c r="B4" s="110" t="s">
        <v>253</v>
      </c>
      <c r="C4" s="104" t="s">
        <v>46</v>
      </c>
      <c r="D4" s="57"/>
      <c r="E4" s="110" t="s">
        <v>47</v>
      </c>
    </row>
    <row r="5" spans="1:5" ht="15.6" customHeight="1">
      <c r="A5" s="96"/>
      <c r="B5" s="117"/>
      <c r="C5" s="104"/>
      <c r="D5" s="56"/>
      <c r="E5" s="111"/>
    </row>
    <row r="6" spans="1:5">
      <c r="A6" s="96" t="s">
        <v>51</v>
      </c>
      <c r="B6" s="110" t="s">
        <v>253</v>
      </c>
      <c r="C6" s="104" t="s">
        <v>56</v>
      </c>
      <c r="D6" s="57"/>
      <c r="E6" s="110" t="s">
        <v>57</v>
      </c>
    </row>
    <row r="7" spans="1:5" ht="15.6" customHeight="1">
      <c r="A7" s="96"/>
      <c r="B7" s="117"/>
      <c r="C7" s="104"/>
      <c r="D7" s="56"/>
      <c r="E7" s="111"/>
    </row>
    <row r="8" spans="1:5" ht="12.75">
      <c r="A8" s="96" t="s">
        <v>62</v>
      </c>
      <c r="B8" s="110" t="s">
        <v>254</v>
      </c>
      <c r="C8" s="11" t="s">
        <v>65</v>
      </c>
      <c r="D8" s="59"/>
      <c r="E8" s="112" t="s">
        <v>66</v>
      </c>
    </row>
    <row r="9" spans="1:5" ht="12.75">
      <c r="A9" s="96"/>
      <c r="B9" s="117"/>
      <c r="C9" s="21" t="s">
        <v>70</v>
      </c>
      <c r="D9" s="65"/>
      <c r="E9" s="113"/>
    </row>
    <row r="10" spans="1:5" ht="51">
      <c r="A10" s="4" t="s">
        <v>72</v>
      </c>
      <c r="B10" s="15" t="s">
        <v>255</v>
      </c>
      <c r="C10" s="11" t="s">
        <v>77</v>
      </c>
      <c r="D10" s="15"/>
      <c r="E10" s="15" t="s">
        <v>78</v>
      </c>
    </row>
    <row r="11" spans="1:5" ht="25.5">
      <c r="A11" s="4" t="s">
        <v>82</v>
      </c>
      <c r="B11" s="15" t="s">
        <v>256</v>
      </c>
      <c r="C11" s="11" t="s">
        <v>84</v>
      </c>
      <c r="D11" s="15"/>
      <c r="E11" s="15" t="s">
        <v>85</v>
      </c>
    </row>
    <row r="12" spans="1:5" ht="38.25">
      <c r="A12" s="4" t="s">
        <v>87</v>
      </c>
      <c r="B12" s="15" t="s">
        <v>257</v>
      </c>
      <c r="C12" s="11" t="s">
        <v>91</v>
      </c>
      <c r="D12" s="15"/>
      <c r="E12" s="15" t="s">
        <v>92</v>
      </c>
    </row>
    <row r="13" spans="1:5" ht="39.6" customHeight="1">
      <c r="A13" s="97" t="s">
        <v>94</v>
      </c>
      <c r="B13" s="125" t="s">
        <v>258</v>
      </c>
      <c r="C13" s="115" t="s">
        <v>101</v>
      </c>
      <c r="D13" s="62"/>
      <c r="E13" s="119" t="s">
        <v>102</v>
      </c>
    </row>
    <row r="14" spans="1:5" ht="15.6" customHeight="1">
      <c r="A14" s="97"/>
      <c r="B14" s="128"/>
      <c r="C14" s="115"/>
      <c r="D14" s="63"/>
      <c r="E14" s="120"/>
    </row>
    <row r="15" spans="1:5">
      <c r="A15" s="22" t="s">
        <v>103</v>
      </c>
      <c r="B15" s="128"/>
      <c r="C15" s="21" t="s">
        <v>106</v>
      </c>
      <c r="D15" s="66"/>
      <c r="E15" s="120"/>
    </row>
    <row r="16" spans="1:5">
      <c r="A16" s="22" t="s">
        <v>107</v>
      </c>
      <c r="B16" s="126"/>
      <c r="C16" s="11" t="s">
        <v>112</v>
      </c>
      <c r="D16" s="64"/>
      <c r="E16" s="121"/>
    </row>
    <row r="17" spans="1:5" ht="13.35" customHeight="1">
      <c r="A17" s="97" t="s">
        <v>114</v>
      </c>
      <c r="B17" s="110" t="s">
        <v>259</v>
      </c>
      <c r="C17" s="110" t="s">
        <v>118</v>
      </c>
      <c r="D17" s="55"/>
      <c r="E17" s="122" t="s">
        <v>119</v>
      </c>
    </row>
    <row r="18" spans="1:5" ht="12.75">
      <c r="A18" s="97"/>
      <c r="B18" s="116"/>
      <c r="C18" s="116"/>
      <c r="D18" s="61"/>
      <c r="E18" s="116"/>
    </row>
    <row r="19" spans="1:5" ht="12.75">
      <c r="A19" s="97"/>
      <c r="B19" s="116"/>
      <c r="C19" s="117"/>
      <c r="D19" s="58"/>
      <c r="E19" s="117"/>
    </row>
    <row r="20" spans="1:5" ht="12.75">
      <c r="A20" s="97" t="s">
        <v>120</v>
      </c>
      <c r="B20" s="116"/>
      <c r="C20" s="110" t="s">
        <v>123</v>
      </c>
      <c r="D20" s="55"/>
      <c r="E20" s="110" t="s">
        <v>124</v>
      </c>
    </row>
    <row r="21" spans="1:5" ht="12.75">
      <c r="A21" s="97"/>
      <c r="B21" s="116"/>
      <c r="C21" s="116"/>
      <c r="D21" s="61"/>
      <c r="E21" s="116"/>
    </row>
    <row r="22" spans="1:5" ht="12.75">
      <c r="A22" s="97"/>
      <c r="B22" s="116"/>
      <c r="C22" s="117"/>
      <c r="D22" s="58"/>
      <c r="E22" s="117"/>
    </row>
    <row r="23" spans="1:5" ht="31.5">
      <c r="A23" s="5" t="s">
        <v>125</v>
      </c>
      <c r="B23" s="117"/>
      <c r="C23" s="11" t="s">
        <v>127</v>
      </c>
      <c r="D23" s="15"/>
      <c r="E23" s="15" t="s">
        <v>128</v>
      </c>
    </row>
    <row r="24" spans="1:5" ht="39.6" customHeight="1">
      <c r="A24" s="5" t="s">
        <v>130</v>
      </c>
      <c r="B24" s="110" t="s">
        <v>260</v>
      </c>
      <c r="C24" s="11" t="s">
        <v>134</v>
      </c>
      <c r="D24" s="15"/>
      <c r="E24" s="15" t="s">
        <v>135</v>
      </c>
    </row>
    <row r="25" spans="1:5" ht="31.5">
      <c r="A25" s="5" t="s">
        <v>136</v>
      </c>
      <c r="B25" s="116"/>
      <c r="C25" s="11" t="s">
        <v>139</v>
      </c>
      <c r="D25" s="15"/>
      <c r="E25" s="15" t="s">
        <v>140</v>
      </c>
    </row>
    <row r="26" spans="1:5" ht="12.75">
      <c r="A26" s="97" t="s">
        <v>141</v>
      </c>
      <c r="B26" s="116"/>
      <c r="C26" s="110" t="s">
        <v>144</v>
      </c>
      <c r="D26" s="55"/>
      <c r="E26" s="110" t="s">
        <v>145</v>
      </c>
    </row>
    <row r="27" spans="1:5" ht="12.75">
      <c r="A27" s="97"/>
      <c r="B27" s="116"/>
      <c r="C27" s="116"/>
      <c r="D27" s="61"/>
      <c r="E27" s="116"/>
    </row>
    <row r="28" spans="1:5" ht="12.75">
      <c r="A28" s="97"/>
      <c r="B28" s="116"/>
      <c r="C28" s="117"/>
      <c r="D28" s="58"/>
      <c r="E28" s="117"/>
    </row>
    <row r="29" spans="1:5" ht="31.5">
      <c r="A29" s="5" t="s">
        <v>146</v>
      </c>
      <c r="B29" s="117"/>
      <c r="C29" s="11" t="s">
        <v>149</v>
      </c>
      <c r="D29" s="15"/>
      <c r="E29" s="15" t="s">
        <v>150</v>
      </c>
    </row>
    <row r="30" spans="1:5" ht="12.75">
      <c r="A30" s="97" t="s">
        <v>152</v>
      </c>
      <c r="B30" s="110" t="s">
        <v>261</v>
      </c>
      <c r="C30" s="110" t="s">
        <v>155</v>
      </c>
      <c r="D30" s="55"/>
      <c r="E30" s="110" t="s">
        <v>156</v>
      </c>
    </row>
    <row r="31" spans="1:5" ht="12.75">
      <c r="A31" s="97"/>
      <c r="B31" s="116"/>
      <c r="C31" s="117"/>
      <c r="D31" s="61"/>
      <c r="E31" s="116"/>
    </row>
    <row r="32" spans="1:5" ht="12.75">
      <c r="A32" s="97" t="s">
        <v>157</v>
      </c>
      <c r="B32" s="116"/>
      <c r="C32" s="110" t="s">
        <v>162</v>
      </c>
      <c r="D32" s="61"/>
      <c r="E32" s="116"/>
    </row>
    <row r="33" spans="1:5" ht="12.75">
      <c r="A33" s="97"/>
      <c r="B33" s="116"/>
      <c r="C33" s="117"/>
      <c r="D33" s="61"/>
      <c r="E33" s="116"/>
    </row>
    <row r="34" spans="1:5" ht="31.5">
      <c r="A34" s="5" t="s">
        <v>163</v>
      </c>
      <c r="B34" s="117"/>
      <c r="C34" s="11" t="s">
        <v>162</v>
      </c>
      <c r="D34" s="58"/>
      <c r="E34" s="117"/>
    </row>
    <row r="35" spans="1:5" ht="31.5">
      <c r="A35" s="5" t="s">
        <v>167</v>
      </c>
      <c r="B35" s="15" t="s">
        <v>262</v>
      </c>
      <c r="C35" s="11" t="s">
        <v>171</v>
      </c>
      <c r="D35" s="15"/>
      <c r="E35" s="15" t="s">
        <v>172</v>
      </c>
    </row>
    <row r="36" spans="1:5" ht="31.5">
      <c r="A36" s="5" t="s">
        <v>175</v>
      </c>
      <c r="B36" s="15"/>
      <c r="C36" s="11" t="s">
        <v>181</v>
      </c>
      <c r="D36" s="55"/>
      <c r="E36" s="110" t="s">
        <v>182</v>
      </c>
    </row>
    <row r="37" spans="1:5" ht="13.35" customHeight="1">
      <c r="A37" s="97" t="s">
        <v>183</v>
      </c>
      <c r="B37" s="110" t="s">
        <v>263</v>
      </c>
      <c r="C37" s="105" t="s">
        <v>187</v>
      </c>
      <c r="D37" s="61"/>
      <c r="E37" s="116"/>
    </row>
    <row r="38" spans="1:5" ht="12.75">
      <c r="A38" s="97"/>
      <c r="B38" s="116"/>
      <c r="C38" s="105"/>
      <c r="D38" s="58"/>
      <c r="E38" s="117"/>
    </row>
    <row r="39" spans="1:5" ht="12.75">
      <c r="A39" s="97" t="s">
        <v>190</v>
      </c>
      <c r="B39" s="116"/>
      <c r="C39" s="105" t="s">
        <v>193</v>
      </c>
      <c r="D39" s="55"/>
      <c r="E39" s="110" t="s">
        <v>194</v>
      </c>
    </row>
    <row r="40" spans="1:5" ht="12.75">
      <c r="A40" s="97"/>
      <c r="B40" s="116"/>
      <c r="C40" s="105"/>
      <c r="D40" s="58"/>
      <c r="E40" s="117"/>
    </row>
    <row r="41" spans="1:5" ht="12.75">
      <c r="A41" s="97" t="s">
        <v>196</v>
      </c>
      <c r="B41" s="116" t="s">
        <v>264</v>
      </c>
      <c r="C41" s="110" t="s">
        <v>200</v>
      </c>
      <c r="D41" s="55"/>
      <c r="E41" s="110" t="s">
        <v>201</v>
      </c>
    </row>
    <row r="42" spans="1:5" ht="12.75">
      <c r="A42" s="97"/>
      <c r="B42" s="117"/>
      <c r="C42" s="117"/>
      <c r="D42" s="58"/>
      <c r="E42" s="117"/>
    </row>
    <row r="43" spans="1:5" ht="38.25">
      <c r="A43" s="5" t="s">
        <v>203</v>
      </c>
      <c r="B43" s="15" t="s">
        <v>265</v>
      </c>
      <c r="C43" s="11" t="s">
        <v>206</v>
      </c>
      <c r="D43" s="15"/>
      <c r="E43" s="15" t="s">
        <v>207</v>
      </c>
    </row>
    <row r="44" spans="1:5" ht="12.75">
      <c r="A44" s="97" t="s">
        <v>209</v>
      </c>
      <c r="B44" s="110" t="s">
        <v>266</v>
      </c>
      <c r="C44" s="110" t="s">
        <v>211</v>
      </c>
      <c r="D44" s="55"/>
      <c r="E44" s="110" t="s">
        <v>212</v>
      </c>
    </row>
    <row r="45" spans="1:5" ht="12.75">
      <c r="A45" s="97"/>
      <c r="B45" s="117"/>
      <c r="C45" s="117"/>
      <c r="D45" s="58"/>
      <c r="E45" s="117"/>
    </row>
    <row r="46" spans="1:5" ht="31.5">
      <c r="A46" s="5" t="s">
        <v>214</v>
      </c>
      <c r="B46" s="15" t="s">
        <v>267</v>
      </c>
      <c r="C46" s="11" t="s">
        <v>217</v>
      </c>
      <c r="D46" s="15"/>
      <c r="E46" s="15" t="s">
        <v>218</v>
      </c>
    </row>
    <row r="47" spans="1:5" ht="51">
      <c r="A47" s="5" t="s">
        <v>220</v>
      </c>
      <c r="B47" s="15" t="s">
        <v>268</v>
      </c>
      <c r="C47" s="11" t="s">
        <v>226</v>
      </c>
      <c r="D47" s="15"/>
      <c r="E47" s="15" t="s">
        <v>227</v>
      </c>
    </row>
    <row r="48" spans="1:5" ht="12.75">
      <c r="A48" s="97" t="s">
        <v>229</v>
      </c>
      <c r="B48" s="110" t="s">
        <v>269</v>
      </c>
      <c r="C48" s="110" t="s">
        <v>233</v>
      </c>
      <c r="D48" s="55"/>
      <c r="E48" s="110" t="s">
        <v>234</v>
      </c>
    </row>
    <row r="49" spans="1:5" ht="12.75">
      <c r="A49" s="97"/>
      <c r="B49" s="117"/>
      <c r="C49" s="117"/>
      <c r="D49" s="58"/>
      <c r="E49" s="117"/>
    </row>
    <row r="50" spans="1:5" ht="31.5">
      <c r="A50" s="5" t="s">
        <v>236</v>
      </c>
      <c r="B50" s="15" t="s">
        <v>270</v>
      </c>
      <c r="C50" s="11" t="s">
        <v>239</v>
      </c>
      <c r="D50" s="15"/>
      <c r="E50" s="15" t="s">
        <v>240</v>
      </c>
    </row>
    <row r="51" spans="1:5" ht="38.25">
      <c r="A51" s="5" t="s">
        <v>242</v>
      </c>
      <c r="B51" s="15" t="s">
        <v>271</v>
      </c>
      <c r="C51" s="11" t="s">
        <v>244</v>
      </c>
      <c r="D51" s="15"/>
      <c r="E51" s="15" t="s">
        <v>245</v>
      </c>
    </row>
    <row r="52" spans="1:5" ht="12.75">
      <c r="A52" s="97" t="s">
        <v>247</v>
      </c>
      <c r="B52" s="125" t="s">
        <v>272</v>
      </c>
      <c r="C52" s="110" t="s">
        <v>248</v>
      </c>
      <c r="D52" s="59"/>
      <c r="E52" s="112" t="s">
        <v>249</v>
      </c>
    </row>
    <row r="53" spans="1:5" ht="12.75">
      <c r="A53" s="97"/>
      <c r="B53" s="128"/>
      <c r="C53" s="117"/>
      <c r="D53" s="60"/>
      <c r="E53" s="127"/>
    </row>
  </sheetData>
  <mergeCells count="55">
    <mergeCell ref="B52:B53"/>
    <mergeCell ref="B37:B40"/>
    <mergeCell ref="B41:B42"/>
    <mergeCell ref="B44:B45"/>
    <mergeCell ref="B48:B49"/>
    <mergeCell ref="B17:B23"/>
    <mergeCell ref="B24:B29"/>
    <mergeCell ref="B30:B34"/>
    <mergeCell ref="E20:E22"/>
    <mergeCell ref="E4:E5"/>
    <mergeCell ref="E6:E7"/>
    <mergeCell ref="E8:E9"/>
    <mergeCell ref="E13:E16"/>
    <mergeCell ref="E17:E19"/>
    <mergeCell ref="B4:B5"/>
    <mergeCell ref="B6:B7"/>
    <mergeCell ref="B8:B9"/>
    <mergeCell ref="B13:B16"/>
    <mergeCell ref="E48:E49"/>
    <mergeCell ref="E52:E53"/>
    <mergeCell ref="A4:A5"/>
    <mergeCell ref="A6:A7"/>
    <mergeCell ref="A8:A9"/>
    <mergeCell ref="A13:A14"/>
    <mergeCell ref="A17:A19"/>
    <mergeCell ref="A20:A22"/>
    <mergeCell ref="A26:A28"/>
    <mergeCell ref="A30:A31"/>
    <mergeCell ref="E26:E28"/>
    <mergeCell ref="E30:E34"/>
    <mergeCell ref="E36:E38"/>
    <mergeCell ref="E39:E40"/>
    <mergeCell ref="E41:E42"/>
    <mergeCell ref="E44:E45"/>
    <mergeCell ref="A52:A53"/>
    <mergeCell ref="C4:C5"/>
    <mergeCell ref="C6:C7"/>
    <mergeCell ref="C13:C14"/>
    <mergeCell ref="C17:C19"/>
    <mergeCell ref="C20:C22"/>
    <mergeCell ref="C26:C28"/>
    <mergeCell ref="C30:C31"/>
    <mergeCell ref="C32:C33"/>
    <mergeCell ref="C37:C38"/>
    <mergeCell ref="A32:A33"/>
    <mergeCell ref="A37:A38"/>
    <mergeCell ref="A39:A40"/>
    <mergeCell ref="A41:A42"/>
    <mergeCell ref="A44:A45"/>
    <mergeCell ref="A48:A49"/>
    <mergeCell ref="C39:C40"/>
    <mergeCell ref="C41:C42"/>
    <mergeCell ref="C44:C45"/>
    <mergeCell ref="C48:C49"/>
    <mergeCell ref="C52:C53"/>
  </mergeCells>
  <hyperlinks>
    <hyperlink ref="E3" r:id="rId1" xr:uid="{B6952403-2880-435B-9D20-7E0FAAC4D89D}"/>
    <hyperlink ref="E4" r:id="rId2" xr:uid="{3F9EF5F7-CD3A-4384-B870-04792F098116}"/>
    <hyperlink ref="E6" r:id="rId3" xr:uid="{C492DA86-E889-4247-9C10-085C31A1E79F}"/>
    <hyperlink ref="E8" r:id="rId4" xr:uid="{31DAD54B-D161-4A06-A9D7-4E63211F3310}"/>
    <hyperlink ref="E10" r:id="rId5" xr:uid="{803BC325-6BED-4D56-A15C-29B85C0D4716}"/>
    <hyperlink ref="E11" r:id="rId6" xr:uid="{62F29CB3-BF07-4EE0-8EAB-168C3FF15E05}"/>
    <hyperlink ref="E12" r:id="rId7" xr:uid="{C800BF2D-2952-4FA7-BAA2-84F90B9E4ADD}"/>
    <hyperlink ref="E13" r:id="rId8" xr:uid="{1DFAFC71-7DD6-4CC3-AE8F-8A172485923A}"/>
    <hyperlink ref="E20" r:id="rId9" xr:uid="{24624687-1E4D-457A-8374-DD1993B9C585}"/>
    <hyperlink ref="E23" r:id="rId10" xr:uid="{983EAA44-B90A-44AF-8681-AA61BC0C1E10}"/>
    <hyperlink ref="E24" r:id="rId11" xr:uid="{A6861E45-E1FA-4D51-8F27-58530CEB196C}"/>
    <hyperlink ref="E25" r:id="rId12" xr:uid="{E3C0A441-0740-4265-BAF7-75E76C73B14F}"/>
    <hyperlink ref="E26" r:id="rId13" xr:uid="{7FD79BF3-0C38-4164-AC05-F0AD66BCD6EF}"/>
    <hyperlink ref="E29" r:id="rId14" xr:uid="{F7E00D91-D3D7-45E5-A772-E61420EA6640}"/>
    <hyperlink ref="E30" r:id="rId15" xr:uid="{BE1DEE91-BC9C-437D-95C6-BF3E8D266076}"/>
    <hyperlink ref="E35" r:id="rId16" xr:uid="{B66B0004-F045-426A-8299-1CBEBB9A1138}"/>
    <hyperlink ref="E36" r:id="rId17" xr:uid="{3F3D976D-57FB-43E1-94EE-98AF66E36E51}"/>
    <hyperlink ref="E39" r:id="rId18" xr:uid="{9F4F69EB-BFAC-43C9-963B-B9057F4415E1}"/>
    <hyperlink ref="E41" r:id="rId19" xr:uid="{5842273F-E532-494D-A60F-D3D507FD625A}"/>
    <hyperlink ref="E43" r:id="rId20" xr:uid="{1F689C43-4B6D-4EE3-8301-D4861A7AF0F3}"/>
    <hyperlink ref="E44" r:id="rId21" xr:uid="{33A96ADA-B3FA-4D4B-BBC8-38DBD66D34E8}"/>
    <hyperlink ref="E46" r:id="rId22" xr:uid="{B8B3DCF7-CB22-4AA7-ABD4-CC279D368E1B}"/>
    <hyperlink ref="E47" r:id="rId23" xr:uid="{2BFC46DB-BE14-48FD-A138-AD1E981B53A6}"/>
    <hyperlink ref="E48" r:id="rId24" xr:uid="{CE01F011-CCDB-4432-9762-7C294BBF71D2}"/>
    <hyperlink ref="E50" r:id="rId25" xr:uid="{C8D18E00-2BCD-4930-8D2F-F43AB82345EE}"/>
    <hyperlink ref="E51" r:id="rId26" xr:uid="{A192577E-982A-4964-9D21-90C6EE9CEAA4}"/>
    <hyperlink ref="E52" r:id="rId27" xr:uid="{3F614AF2-20F7-4E92-9D40-A90E199C80BE}"/>
    <hyperlink ref="C3" r:id="rId28" xr:uid="{A6BECA84-90CB-4824-B74D-A20FE5818E64}"/>
    <hyperlink ref="C9" r:id="rId29" xr:uid="{2D1399F1-C607-4871-9EA8-052B0989ED82}"/>
    <hyperlink ref="C8" r:id="rId30" xr:uid="{2A47C53D-6E58-4E6A-9234-8EF8D893BE32}"/>
    <hyperlink ref="C10" r:id="rId31" xr:uid="{E0869D01-8CDE-43E1-BC57-2EB0A4C5A1A4}"/>
    <hyperlink ref="C11" r:id="rId32" xr:uid="{A76B8140-589D-4430-BBB9-619F347AEFBB}"/>
    <hyperlink ref="C12" r:id="rId33" xr:uid="{4B38775C-F02E-4544-A62B-30624D860704}"/>
    <hyperlink ref="C16" r:id="rId34" xr:uid="{36CF008D-C052-4DA3-835D-81BE10124504}"/>
    <hyperlink ref="C13" r:id="rId35" xr:uid="{03721677-44E8-43FF-AA79-25BAB3797669}"/>
    <hyperlink ref="C15" r:id="rId36" xr:uid="{211D10C0-A78B-47F4-9D2A-E187C6E23C8D}"/>
    <hyperlink ref="C17" r:id="rId37" xr:uid="{61A02CCE-C816-44A4-8A1B-6440B63F4D4E}"/>
    <hyperlink ref="C20" r:id="rId38" xr:uid="{93D532A3-E26D-48F2-AE05-2B78F5733B12}"/>
    <hyperlink ref="C23" r:id="rId39" xr:uid="{3FC11D2C-447C-4ED4-AAF1-78BE6BDA10C8}"/>
    <hyperlink ref="C24" r:id="rId40" xr:uid="{E1DACFEF-BE0E-4F24-8C5E-A049208610AB}"/>
    <hyperlink ref="C25" r:id="rId41" xr:uid="{0B869080-410D-4EED-A506-8C7E2DD6E3A1}"/>
    <hyperlink ref="C26" r:id="rId42" xr:uid="{D5273D04-205D-476D-AF2A-E2E81206EC98}"/>
    <hyperlink ref="C29" r:id="rId43" xr:uid="{2C7A6E60-D132-4A92-9763-487C80620A71}"/>
    <hyperlink ref="C30" r:id="rId44" xr:uid="{5E97A9E9-0FE1-4BC7-B58E-C85787EAAF9A}"/>
    <hyperlink ref="C32" r:id="rId45" xr:uid="{F0989C92-F641-4E63-BCE8-59A767513201}"/>
    <hyperlink ref="C34" r:id="rId46" xr:uid="{78B3D55E-18E3-4318-88CE-DA8F8AC5E11E}"/>
    <hyperlink ref="C35" r:id="rId47" xr:uid="{EACE4CCC-D086-4DE6-BBC6-710989EDD92A}"/>
    <hyperlink ref="C36" r:id="rId48" xr:uid="{8F53697B-9201-4905-A2E1-D56E5577CD48}"/>
    <hyperlink ref="C37" r:id="rId49" xr:uid="{B3CDF712-1DC7-4827-9263-8C7DB76FA1E8}"/>
    <hyperlink ref="C39" r:id="rId50" xr:uid="{BCDAB6DC-D63E-4F7B-87AC-22A8EC3C7625}"/>
    <hyperlink ref="C41" r:id="rId51" xr:uid="{31C147F5-58D8-4B06-ADC0-1B5E7EDA0E01}"/>
    <hyperlink ref="C43" r:id="rId52" xr:uid="{FD4D5408-27BF-4020-B465-9E0DDF090CFE}"/>
    <hyperlink ref="C44" r:id="rId53" xr:uid="{7E2867EE-F137-4162-A45B-F3025E7A2E77}"/>
    <hyperlink ref="C46" r:id="rId54" xr:uid="{9DED03A5-9F5A-4AFC-80FC-54267A619DCC}"/>
    <hyperlink ref="C47" r:id="rId55" xr:uid="{5E55D508-8B2E-42F2-A337-C846BD2FAC9D}"/>
    <hyperlink ref="C48" r:id="rId56" xr:uid="{26AE1436-56F4-4E2B-A89C-1ACDDA0E85D6}"/>
    <hyperlink ref="C50" r:id="rId57" xr:uid="{3238B753-E1EF-4AA0-81F1-C6CE85FBBE43}"/>
    <hyperlink ref="C51" r:id="rId58" xr:uid="{8698D2C7-239F-45E0-A4A3-74696DF015D5}"/>
    <hyperlink ref="C52" r:id="rId59" xr:uid="{82A85BBE-0E27-4E38-928B-2F15091B9F99}"/>
    <hyperlink ref="B3" r:id="rId60" xr:uid="{BB3CBAF3-6E85-46D7-A7D4-A7A7F09D0C21}"/>
    <hyperlink ref="B4" r:id="rId61" xr:uid="{36C25B27-CAB2-4C40-9358-4A2A20EC4F06}"/>
    <hyperlink ref="B6" r:id="rId62" xr:uid="{10A5EF45-A9B2-4090-9677-7027CB44BEA0}"/>
    <hyperlink ref="B8" r:id="rId63" xr:uid="{8E358C8B-75FC-4DA0-8632-BD081FB0FEA0}"/>
    <hyperlink ref="B10" r:id="rId64" xr:uid="{9550F560-26BA-4754-B9AD-2D8D29ED8E92}"/>
    <hyperlink ref="B13" r:id="rId65" xr:uid="{CD6A6BA8-E997-458E-B507-77E303F24B69}"/>
    <hyperlink ref="B17" r:id="rId66" xr:uid="{BC9D17B3-1F3E-4F51-B883-ACA8C74494E3}"/>
    <hyperlink ref="B24" r:id="rId67" xr:uid="{44EB76B0-F65B-4741-8AD9-435E41A6F68B}"/>
    <hyperlink ref="B30" r:id="rId68" xr:uid="{75511B2C-5C35-4F21-885D-6CAA3E561F71}"/>
    <hyperlink ref="B35" r:id="rId69" xr:uid="{11186571-2F1E-4ECA-AD30-F2BDE1286378}"/>
    <hyperlink ref="B37" r:id="rId70" xr:uid="{CC814B36-77D8-4D10-964C-65019F3FEB03}"/>
    <hyperlink ref="B41" r:id="rId71" xr:uid="{58F40752-E43D-43BA-B7A6-5A5F4F16A55D}"/>
    <hyperlink ref="B43" r:id="rId72" xr:uid="{F2D255FE-67B4-4B2D-BF6F-A9BECEEED0CE}"/>
    <hyperlink ref="B46" r:id="rId73" xr:uid="{AACBFA19-E885-4699-AC1D-07D43A8CBCCE}"/>
    <hyperlink ref="B47" r:id="rId74" xr:uid="{42E2CA41-7295-4BA8-87AD-4214FAC8C290}"/>
    <hyperlink ref="B50" r:id="rId75" xr:uid="{8910DABB-2237-4423-8A44-542571821729}"/>
    <hyperlink ref="B51" r:id="rId76" xr:uid="{EF424B37-E2FE-44F9-81AE-AF99F24D0010}"/>
    <hyperlink ref="B52" r:id="rId77" xr:uid="{1BFF1FAC-F64E-4F7A-9CA8-5D9B65F69366}"/>
    <hyperlink ref="B11" r:id="rId78" xr:uid="{37B4C781-1CA1-4100-A33C-153970DA5284}"/>
    <hyperlink ref="B12" r:id="rId79" xr:uid="{8F2B2A0F-C3CA-4F04-AECB-A2D4C9A70D4F}"/>
    <hyperlink ref="B44" r:id="rId80" xr:uid="{E88E1929-292E-45CE-9844-45547B4996A6}"/>
    <hyperlink ref="B48" r:id="rId81" xr:uid="{29814E8B-D949-493D-A0A7-9A4ED9D380EC}"/>
  </hyperlinks>
  <pageMargins left="0.7" right="0.7" top="0.75" bottom="0.75" header="0.3" footer="0.3"/>
  <pageSetup paperSize="9" orientation="portrait" horizontalDpi="360" verticalDpi="360" r:id="rId8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63C9-49CB-436F-B366-87F7CF835B3D}">
  <dimension ref="A1:B18"/>
  <sheetViews>
    <sheetView workbookViewId="0">
      <selection activeCell="M33" sqref="M33"/>
    </sheetView>
  </sheetViews>
  <sheetFormatPr defaultRowHeight="12.75"/>
  <cols>
    <col min="1" max="1" width="19.140625" bestFit="1" customWidth="1"/>
    <col min="2" max="2" width="68.42578125" bestFit="1" customWidth="1"/>
  </cols>
  <sheetData>
    <row r="1" spans="1:2">
      <c r="A1" t="s">
        <v>0</v>
      </c>
      <c r="B1" t="s">
        <v>273</v>
      </c>
    </row>
    <row r="2" spans="1:2">
      <c r="A2" t="s">
        <v>274</v>
      </c>
      <c r="B2" s="44" t="s">
        <v>275</v>
      </c>
    </row>
    <row r="3" spans="1:2">
      <c r="A3" t="s">
        <v>61</v>
      </c>
      <c r="B3" t="s">
        <v>276</v>
      </c>
    </row>
    <row r="4" spans="1:2">
      <c r="A4" t="s">
        <v>71</v>
      </c>
      <c r="B4" t="s">
        <v>277</v>
      </c>
    </row>
    <row r="5" spans="1:2">
      <c r="A5" t="s">
        <v>86</v>
      </c>
      <c r="B5" t="s">
        <v>278</v>
      </c>
    </row>
    <row r="6" spans="1:2">
      <c r="A6" t="s">
        <v>93</v>
      </c>
      <c r="B6" t="s">
        <v>279</v>
      </c>
    </row>
    <row r="7" spans="1:2">
      <c r="A7" t="s">
        <v>113</v>
      </c>
      <c r="B7" t="s">
        <v>280</v>
      </c>
    </row>
    <row r="8" spans="1:2">
      <c r="A8" t="s">
        <v>129</v>
      </c>
      <c r="B8" t="s">
        <v>281</v>
      </c>
    </row>
    <row r="9" spans="1:2">
      <c r="A9" t="s">
        <v>151</v>
      </c>
      <c r="B9" t="s">
        <v>282</v>
      </c>
    </row>
    <row r="10" spans="1:2">
      <c r="A10" t="s">
        <v>283</v>
      </c>
      <c r="B10" t="s">
        <v>284</v>
      </c>
    </row>
    <row r="11" spans="1:2">
      <c r="A11" t="s">
        <v>174</v>
      </c>
      <c r="B11" t="s">
        <v>285</v>
      </c>
    </row>
    <row r="12" spans="1:2">
      <c r="A12" t="s">
        <v>189</v>
      </c>
      <c r="B12" t="s">
        <v>286</v>
      </c>
    </row>
    <row r="13" spans="1:2">
      <c r="A13" t="s">
        <v>195</v>
      </c>
      <c r="B13" s="44" t="s">
        <v>287</v>
      </c>
    </row>
    <row r="14" spans="1:2">
      <c r="A14" t="s">
        <v>202</v>
      </c>
      <c r="B14" t="s">
        <v>288</v>
      </c>
    </row>
    <row r="15" spans="1:2">
      <c r="A15" t="s">
        <v>289</v>
      </c>
      <c r="B15" t="s">
        <v>290</v>
      </c>
    </row>
    <row r="16" spans="1:2">
      <c r="A16" t="s">
        <v>213</v>
      </c>
      <c r="B16" t="s">
        <v>291</v>
      </c>
    </row>
    <row r="17" spans="1:2">
      <c r="A17" t="s">
        <v>219</v>
      </c>
      <c r="B17" t="s">
        <v>292</v>
      </c>
    </row>
    <row r="18" spans="1:2">
      <c r="A18" t="s">
        <v>293</v>
      </c>
      <c r="B18" t="s">
        <v>294</v>
      </c>
    </row>
  </sheetData>
  <hyperlinks>
    <hyperlink ref="B2" r:id="rId1" xr:uid="{0CB8FB05-FBC1-4A8D-AC68-A306C0841DC5}"/>
    <hyperlink ref="B13" r:id="rId2" xr:uid="{37B033C2-9F5D-403F-B37D-52EE3848AA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909F-B658-4FF8-88AD-49F880325036}">
  <dimension ref="A1:Q25"/>
  <sheetViews>
    <sheetView topLeftCell="D1" workbookViewId="0">
      <selection activeCell="P17" sqref="P17"/>
    </sheetView>
  </sheetViews>
  <sheetFormatPr defaultRowHeight="12.75"/>
  <cols>
    <col min="1" max="1" width="26.5703125" bestFit="1" customWidth="1"/>
    <col min="2" max="2" width="55.85546875" bestFit="1" customWidth="1"/>
    <col min="3" max="3" width="28.140625" bestFit="1" customWidth="1"/>
    <col min="4" max="4" width="19.140625" bestFit="1" customWidth="1"/>
    <col min="5" max="5" width="21.85546875" bestFit="1" customWidth="1"/>
    <col min="6" max="6" width="33" bestFit="1" customWidth="1"/>
    <col min="7" max="7" width="20.85546875" bestFit="1" customWidth="1"/>
    <col min="8" max="8" width="15.85546875" bestFit="1" customWidth="1"/>
    <col min="9" max="9" width="13.42578125" bestFit="1" customWidth="1"/>
    <col min="10" max="10" width="21.85546875" bestFit="1" customWidth="1"/>
    <col min="11" max="11" width="12" bestFit="1" customWidth="1"/>
    <col min="12" max="12" width="15.85546875" bestFit="1" customWidth="1"/>
    <col min="13" max="13" width="13.85546875" bestFit="1" customWidth="1"/>
    <col min="14" max="14" width="20.5703125" bestFit="1" customWidth="1"/>
    <col min="15" max="15" width="31.140625" bestFit="1" customWidth="1"/>
    <col min="16" max="16" width="68.42578125" bestFit="1" customWidth="1"/>
    <col min="17" max="17" width="13.5703125" bestFit="1" customWidth="1"/>
  </cols>
  <sheetData>
    <row r="1" spans="1:17">
      <c r="A1" t="s">
        <v>0</v>
      </c>
      <c r="B1" t="s">
        <v>295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15</v>
      </c>
      <c r="P1" t="s">
        <v>16</v>
      </c>
      <c r="Q1" t="s">
        <v>18</v>
      </c>
    </row>
    <row r="2" spans="1:17">
      <c r="A2" t="s">
        <v>19</v>
      </c>
      <c r="B2" t="s">
        <v>19</v>
      </c>
      <c r="C2" t="s">
        <v>20</v>
      </c>
      <c r="D2" t="s">
        <v>21</v>
      </c>
      <c r="G2" t="s">
        <v>22</v>
      </c>
      <c r="N2" t="s">
        <v>24</v>
      </c>
      <c r="O2" t="s">
        <v>25</v>
      </c>
    </row>
    <row r="3" spans="1:17" ht="127.5">
      <c r="A3" t="s">
        <v>26</v>
      </c>
      <c r="B3" t="s">
        <v>27</v>
      </c>
      <c r="C3" t="s">
        <v>28</v>
      </c>
      <c r="D3" t="s">
        <v>29</v>
      </c>
      <c r="E3" t="s">
        <v>30</v>
      </c>
      <c r="G3" t="s">
        <v>32</v>
      </c>
      <c r="H3">
        <v>100</v>
      </c>
      <c r="I3">
        <v>0.56999999999999995</v>
      </c>
      <c r="J3">
        <v>61.17</v>
      </c>
      <c r="K3">
        <v>1.44</v>
      </c>
      <c r="L3">
        <v>1.94</v>
      </c>
      <c r="M3">
        <v>7.0000000000000007E-2</v>
      </c>
      <c r="N3" t="s">
        <v>35</v>
      </c>
      <c r="O3" t="s">
        <v>36</v>
      </c>
      <c r="P3" s="44" t="s">
        <v>296</v>
      </c>
      <c r="Q3" s="43" t="s">
        <v>297</v>
      </c>
    </row>
    <row r="4" spans="1:17" ht="127.5">
      <c r="A4" t="s">
        <v>41</v>
      </c>
      <c r="B4" t="s">
        <v>42</v>
      </c>
      <c r="C4" t="s">
        <v>28</v>
      </c>
      <c r="D4" t="s">
        <v>29</v>
      </c>
      <c r="E4" t="s">
        <v>43</v>
      </c>
      <c r="G4" t="s">
        <v>32</v>
      </c>
      <c r="H4">
        <v>100</v>
      </c>
      <c r="I4">
        <v>0.56999999999999995</v>
      </c>
      <c r="J4">
        <v>92</v>
      </c>
      <c r="K4">
        <v>0.81</v>
      </c>
      <c r="L4">
        <v>1.36</v>
      </c>
      <c r="M4">
        <v>0.1</v>
      </c>
      <c r="N4" t="s">
        <v>35</v>
      </c>
      <c r="O4" t="s">
        <v>45</v>
      </c>
      <c r="P4" t="s">
        <v>275</v>
      </c>
      <c r="Q4" s="43" t="s">
        <v>297</v>
      </c>
    </row>
    <row r="5" spans="1:17" ht="127.5">
      <c r="A5" t="s">
        <v>50</v>
      </c>
      <c r="B5" t="s">
        <v>51</v>
      </c>
      <c r="C5" t="s">
        <v>52</v>
      </c>
      <c r="D5" t="s">
        <v>29</v>
      </c>
      <c r="E5">
        <v>3</v>
      </c>
      <c r="F5" t="s">
        <v>53</v>
      </c>
      <c r="G5" t="s">
        <v>32</v>
      </c>
      <c r="H5">
        <v>100</v>
      </c>
      <c r="I5">
        <v>0.56999999999999995</v>
      </c>
      <c r="J5">
        <v>68</v>
      </c>
      <c r="K5">
        <v>0.34</v>
      </c>
      <c r="L5">
        <v>0.91</v>
      </c>
      <c r="N5" t="s">
        <v>35</v>
      </c>
      <c r="O5" t="s">
        <v>55</v>
      </c>
      <c r="P5" t="s">
        <v>275</v>
      </c>
      <c r="Q5" s="43" t="s">
        <v>297</v>
      </c>
    </row>
    <row r="6" spans="1:17" ht="127.5">
      <c r="A6" t="s">
        <v>61</v>
      </c>
      <c r="B6" t="s">
        <v>62</v>
      </c>
      <c r="C6" t="s">
        <v>28</v>
      </c>
      <c r="D6" t="s">
        <v>29</v>
      </c>
      <c r="E6" t="s">
        <v>30</v>
      </c>
      <c r="G6" t="s">
        <v>32</v>
      </c>
      <c r="H6">
        <v>100</v>
      </c>
      <c r="I6">
        <v>0.61</v>
      </c>
      <c r="J6">
        <v>59</v>
      </c>
      <c r="K6">
        <v>1.63</v>
      </c>
      <c r="L6">
        <v>2.23</v>
      </c>
      <c r="N6" t="s">
        <v>63</v>
      </c>
      <c r="O6" t="s">
        <v>64</v>
      </c>
      <c r="P6" t="s">
        <v>276</v>
      </c>
      <c r="Q6" s="43" t="s">
        <v>298</v>
      </c>
    </row>
    <row r="7" spans="1:17" ht="216.75">
      <c r="A7" t="s">
        <v>71</v>
      </c>
      <c r="B7" t="s">
        <v>72</v>
      </c>
      <c r="C7" t="s">
        <v>28</v>
      </c>
      <c r="D7" t="s">
        <v>29</v>
      </c>
      <c r="E7" t="s">
        <v>30</v>
      </c>
      <c r="G7" t="s">
        <v>32</v>
      </c>
      <c r="H7">
        <v>100</v>
      </c>
      <c r="I7">
        <v>0.61</v>
      </c>
      <c r="J7">
        <v>58.5</v>
      </c>
      <c r="K7">
        <v>1.27</v>
      </c>
      <c r="L7">
        <v>1.88</v>
      </c>
      <c r="M7">
        <v>0.05</v>
      </c>
      <c r="N7" t="s">
        <v>75</v>
      </c>
      <c r="O7" t="s">
        <v>76</v>
      </c>
      <c r="P7" t="s">
        <v>277</v>
      </c>
      <c r="Q7" s="43" t="s">
        <v>299</v>
      </c>
    </row>
    <row r="8" spans="1:17" ht="216.75">
      <c r="A8" t="s">
        <v>81</v>
      </c>
      <c r="B8" t="s">
        <v>82</v>
      </c>
      <c r="C8" t="s">
        <v>28</v>
      </c>
      <c r="D8" t="s">
        <v>29</v>
      </c>
      <c r="E8" t="s">
        <v>30</v>
      </c>
      <c r="G8" t="s">
        <v>32</v>
      </c>
      <c r="H8">
        <v>100</v>
      </c>
      <c r="I8">
        <v>0.61</v>
      </c>
      <c r="J8">
        <v>58.5</v>
      </c>
      <c r="K8">
        <v>1.76</v>
      </c>
      <c r="L8">
        <v>2.37</v>
      </c>
      <c r="M8">
        <v>0.05</v>
      </c>
      <c r="N8" t="s">
        <v>75</v>
      </c>
      <c r="O8" t="s">
        <v>83</v>
      </c>
      <c r="P8" t="s">
        <v>277</v>
      </c>
      <c r="Q8" s="43" t="s">
        <v>299</v>
      </c>
    </row>
    <row r="9" spans="1:17" ht="127.5">
      <c r="A9" t="s">
        <v>86</v>
      </c>
      <c r="B9" t="s">
        <v>87</v>
      </c>
      <c r="C9" t="s">
        <v>28</v>
      </c>
      <c r="D9" t="s">
        <v>29</v>
      </c>
      <c r="E9" t="s">
        <v>30</v>
      </c>
      <c r="G9" t="s">
        <v>32</v>
      </c>
      <c r="H9">
        <v>100</v>
      </c>
      <c r="I9">
        <v>0.61</v>
      </c>
      <c r="J9">
        <v>61.4</v>
      </c>
      <c r="K9">
        <v>1.61</v>
      </c>
      <c r="L9">
        <v>2.2200000000000002</v>
      </c>
      <c r="M9">
        <v>7.0000000000000007E-2</v>
      </c>
      <c r="N9" t="s">
        <v>89</v>
      </c>
      <c r="O9" t="s">
        <v>90</v>
      </c>
      <c r="P9" t="s">
        <v>278</v>
      </c>
      <c r="Q9" s="43" t="s">
        <v>298</v>
      </c>
    </row>
    <row r="10" spans="1:17">
      <c r="A10" t="s">
        <v>93</v>
      </c>
      <c r="B10" t="s">
        <v>94</v>
      </c>
      <c r="C10" t="s">
        <v>28</v>
      </c>
      <c r="D10" t="s">
        <v>95</v>
      </c>
      <c r="E10">
        <v>60</v>
      </c>
      <c r="G10" t="s">
        <v>96</v>
      </c>
      <c r="H10">
        <v>100</v>
      </c>
      <c r="I10">
        <v>0.54</v>
      </c>
      <c r="J10">
        <v>72</v>
      </c>
      <c r="K10">
        <v>1.66</v>
      </c>
      <c r="L10">
        <v>2.2000000000000002</v>
      </c>
      <c r="M10">
        <v>0.08</v>
      </c>
      <c r="N10" t="s">
        <v>99</v>
      </c>
      <c r="O10" t="s">
        <v>100</v>
      </c>
      <c r="P10" t="s">
        <v>279</v>
      </c>
    </row>
    <row r="11" spans="1:17">
      <c r="A11" t="s">
        <v>113</v>
      </c>
      <c r="B11" t="s">
        <v>114</v>
      </c>
      <c r="C11" t="s">
        <v>28</v>
      </c>
      <c r="D11" t="s">
        <v>95</v>
      </c>
      <c r="E11">
        <v>42</v>
      </c>
      <c r="F11" t="s">
        <v>115</v>
      </c>
      <c r="G11" t="s">
        <v>96</v>
      </c>
      <c r="H11">
        <v>100</v>
      </c>
      <c r="I11">
        <v>0.54</v>
      </c>
      <c r="J11">
        <v>108</v>
      </c>
      <c r="K11">
        <v>1.71</v>
      </c>
      <c r="L11">
        <v>2.25</v>
      </c>
      <c r="N11" t="s">
        <v>99</v>
      </c>
      <c r="O11" t="s">
        <v>117</v>
      </c>
      <c r="P11" t="s">
        <v>280</v>
      </c>
    </row>
    <row r="12" spans="1:17">
      <c r="A12" t="s">
        <v>129</v>
      </c>
      <c r="B12" t="s">
        <v>130</v>
      </c>
      <c r="C12" t="s">
        <v>108</v>
      </c>
      <c r="D12" t="s">
        <v>95</v>
      </c>
      <c r="E12" t="s">
        <v>131</v>
      </c>
      <c r="G12" t="s">
        <v>96</v>
      </c>
      <c r="H12">
        <v>70</v>
      </c>
      <c r="I12">
        <v>0.68</v>
      </c>
      <c r="J12">
        <v>105</v>
      </c>
      <c r="K12">
        <v>1.2</v>
      </c>
      <c r="L12">
        <v>1.88</v>
      </c>
      <c r="M12">
        <v>0.1</v>
      </c>
      <c r="N12" t="s">
        <v>132</v>
      </c>
      <c r="O12" t="s">
        <v>133</v>
      </c>
      <c r="P12" t="s">
        <v>281</v>
      </c>
    </row>
    <row r="13" spans="1:17">
      <c r="A13" t="s">
        <v>151</v>
      </c>
      <c r="B13" t="s">
        <v>152</v>
      </c>
      <c r="C13" t="s">
        <v>28</v>
      </c>
      <c r="D13" t="s">
        <v>95</v>
      </c>
      <c r="E13">
        <v>69.599999999999994</v>
      </c>
      <c r="F13" t="s">
        <v>115</v>
      </c>
      <c r="G13" t="s">
        <v>96</v>
      </c>
      <c r="H13">
        <v>100</v>
      </c>
      <c r="I13">
        <v>0.45400000000000001</v>
      </c>
      <c r="J13">
        <v>69.599999999999994</v>
      </c>
      <c r="K13">
        <v>1.7</v>
      </c>
      <c r="L13">
        <v>2.06</v>
      </c>
      <c r="M13">
        <v>0.08</v>
      </c>
      <c r="N13" t="s">
        <v>35</v>
      </c>
      <c r="O13" t="s">
        <v>154</v>
      </c>
      <c r="P13" t="s">
        <v>282</v>
      </c>
    </row>
    <row r="14" spans="1:17" ht="89.25">
      <c r="A14" t="s">
        <v>166</v>
      </c>
      <c r="B14" t="s">
        <v>167</v>
      </c>
      <c r="C14" t="s">
        <v>108</v>
      </c>
      <c r="D14" t="s">
        <v>95</v>
      </c>
      <c r="E14" t="s">
        <v>168</v>
      </c>
      <c r="G14" t="s">
        <v>169</v>
      </c>
      <c r="H14">
        <v>70</v>
      </c>
      <c r="I14">
        <v>0.55000000000000004</v>
      </c>
      <c r="J14">
        <v>114.3</v>
      </c>
      <c r="K14">
        <v>1.49</v>
      </c>
      <c r="L14">
        <v>2.04</v>
      </c>
      <c r="M14">
        <v>0.05</v>
      </c>
      <c r="N14" t="s">
        <v>75</v>
      </c>
      <c r="O14" t="s">
        <v>170</v>
      </c>
      <c r="P14" t="s">
        <v>284</v>
      </c>
      <c r="Q14" s="43" t="s">
        <v>300</v>
      </c>
    </row>
    <row r="15" spans="1:17" ht="89.25">
      <c r="A15" t="s">
        <v>174</v>
      </c>
      <c r="B15" t="s">
        <v>175</v>
      </c>
      <c r="C15" t="s">
        <v>28</v>
      </c>
      <c r="D15" t="s">
        <v>95</v>
      </c>
      <c r="E15">
        <v>65</v>
      </c>
      <c r="F15" s="43" t="s">
        <v>301</v>
      </c>
      <c r="G15" t="s">
        <v>96</v>
      </c>
      <c r="H15">
        <v>100</v>
      </c>
      <c r="I15">
        <v>0.7</v>
      </c>
      <c r="J15">
        <v>75</v>
      </c>
      <c r="K15">
        <v>1.9</v>
      </c>
      <c r="L15">
        <v>2.6</v>
      </c>
      <c r="M15">
        <v>7.0000000000000007E-2</v>
      </c>
      <c r="N15" t="s">
        <v>179</v>
      </c>
      <c r="O15" t="s">
        <v>180</v>
      </c>
      <c r="P15" t="s">
        <v>285</v>
      </c>
    </row>
    <row r="16" spans="1:17">
      <c r="A16" t="s">
        <v>189</v>
      </c>
      <c r="B16" t="s">
        <v>190</v>
      </c>
      <c r="C16" t="s">
        <v>28</v>
      </c>
      <c r="D16" t="s">
        <v>95</v>
      </c>
      <c r="E16" t="s">
        <v>131</v>
      </c>
      <c r="G16" t="s">
        <v>96</v>
      </c>
      <c r="H16">
        <v>100</v>
      </c>
      <c r="I16">
        <v>0.45</v>
      </c>
      <c r="J16">
        <v>98.6</v>
      </c>
      <c r="K16">
        <v>1.47</v>
      </c>
      <c r="L16">
        <v>1.84</v>
      </c>
      <c r="M16">
        <v>0.05</v>
      </c>
      <c r="N16" t="s">
        <v>191</v>
      </c>
      <c r="O16" t="s">
        <v>192</v>
      </c>
      <c r="P16" t="s">
        <v>286</v>
      </c>
    </row>
    <row r="17" spans="1:17">
      <c r="A17" t="s">
        <v>195</v>
      </c>
      <c r="B17" t="s">
        <v>196</v>
      </c>
      <c r="C17" t="s">
        <v>197</v>
      </c>
      <c r="D17" t="s">
        <v>198</v>
      </c>
      <c r="G17" t="s">
        <v>96</v>
      </c>
      <c r="H17">
        <v>50</v>
      </c>
      <c r="I17">
        <v>0.45</v>
      </c>
      <c r="J17">
        <v>50</v>
      </c>
      <c r="K17">
        <v>2.16</v>
      </c>
      <c r="L17">
        <v>2.61</v>
      </c>
      <c r="M17">
        <v>0.1</v>
      </c>
      <c r="N17" t="s">
        <v>99</v>
      </c>
      <c r="O17" t="s">
        <v>199</v>
      </c>
      <c r="P17" t="s">
        <v>287</v>
      </c>
    </row>
    <row r="18" spans="1:17">
      <c r="A18" t="s">
        <v>202</v>
      </c>
      <c r="B18" t="s">
        <v>203</v>
      </c>
      <c r="C18" t="s">
        <v>197</v>
      </c>
      <c r="D18" t="s">
        <v>198</v>
      </c>
      <c r="G18" t="s">
        <v>96</v>
      </c>
      <c r="H18">
        <v>50</v>
      </c>
      <c r="I18">
        <v>0.57999999999999996</v>
      </c>
      <c r="J18">
        <v>45</v>
      </c>
      <c r="K18">
        <v>2.2799999999999998</v>
      </c>
      <c r="L18">
        <v>2.86</v>
      </c>
      <c r="M18">
        <v>0.1</v>
      </c>
      <c r="N18" t="s">
        <v>204</v>
      </c>
      <c r="O18" t="s">
        <v>205</v>
      </c>
      <c r="P18" t="s">
        <v>288</v>
      </c>
    </row>
    <row r="19" spans="1:17">
      <c r="A19" t="s">
        <v>208</v>
      </c>
      <c r="B19" t="s">
        <v>209</v>
      </c>
      <c r="C19" t="s">
        <v>197</v>
      </c>
      <c r="D19" t="s">
        <v>198</v>
      </c>
      <c r="E19" t="s">
        <v>168</v>
      </c>
      <c r="G19" t="s">
        <v>96</v>
      </c>
      <c r="H19">
        <v>50</v>
      </c>
      <c r="I19">
        <v>0.56999999999999995</v>
      </c>
      <c r="J19">
        <v>48</v>
      </c>
      <c r="K19">
        <v>1.8</v>
      </c>
      <c r="L19">
        <v>2.2999999999999998</v>
      </c>
      <c r="M19">
        <v>0.1</v>
      </c>
      <c r="N19" t="s">
        <v>35</v>
      </c>
      <c r="O19" t="s">
        <v>210</v>
      </c>
      <c r="P19" t="s">
        <v>290</v>
      </c>
    </row>
    <row r="20" spans="1:17">
      <c r="A20" t="s">
        <v>213</v>
      </c>
      <c r="B20" t="s">
        <v>214</v>
      </c>
      <c r="C20" t="s">
        <v>197</v>
      </c>
      <c r="D20" t="s">
        <v>198</v>
      </c>
      <c r="E20" t="s">
        <v>168</v>
      </c>
      <c r="G20" t="s">
        <v>96</v>
      </c>
      <c r="H20">
        <v>50</v>
      </c>
      <c r="I20">
        <v>0.6</v>
      </c>
      <c r="J20">
        <v>52</v>
      </c>
      <c r="K20">
        <v>2.2000000000000002</v>
      </c>
      <c r="L20">
        <v>2.8</v>
      </c>
      <c r="M20">
        <v>0.05</v>
      </c>
      <c r="N20" t="s">
        <v>215</v>
      </c>
      <c r="O20" t="s">
        <v>216</v>
      </c>
      <c r="P20" t="s">
        <v>291</v>
      </c>
    </row>
    <row r="21" spans="1:17">
      <c r="A21" t="s">
        <v>219</v>
      </c>
      <c r="B21" t="s">
        <v>220</v>
      </c>
      <c r="C21" t="s">
        <v>28</v>
      </c>
      <c r="D21" t="s">
        <v>221</v>
      </c>
      <c r="G21" t="s">
        <v>96</v>
      </c>
      <c r="H21">
        <v>80</v>
      </c>
      <c r="I21">
        <v>0.61</v>
      </c>
      <c r="J21">
        <v>30.5</v>
      </c>
      <c r="K21">
        <v>0.61</v>
      </c>
      <c r="L21">
        <v>1.22</v>
      </c>
      <c r="M21">
        <v>7.0000000000000007E-2</v>
      </c>
      <c r="N21" t="s">
        <v>224</v>
      </c>
      <c r="O21" t="s">
        <v>225</v>
      </c>
      <c r="P21" t="s">
        <v>292</v>
      </c>
    </row>
    <row r="22" spans="1:17">
      <c r="A22" t="s">
        <v>228</v>
      </c>
      <c r="B22" t="s">
        <v>229</v>
      </c>
      <c r="C22" t="s">
        <v>28</v>
      </c>
      <c r="D22" t="s">
        <v>230</v>
      </c>
      <c r="E22" t="s">
        <v>43</v>
      </c>
      <c r="G22" t="s">
        <v>96</v>
      </c>
      <c r="H22">
        <v>100</v>
      </c>
      <c r="I22">
        <v>0.3</v>
      </c>
      <c r="J22">
        <v>108</v>
      </c>
      <c r="K22">
        <v>1.31</v>
      </c>
      <c r="L22">
        <v>1.56</v>
      </c>
      <c r="M22">
        <v>0.1</v>
      </c>
      <c r="N22" t="s">
        <v>231</v>
      </c>
      <c r="O22" t="s">
        <v>232</v>
      </c>
      <c r="P22" t="s">
        <v>294</v>
      </c>
    </row>
    <row r="23" spans="1:17">
      <c r="A23" t="s">
        <v>235</v>
      </c>
      <c r="B23" t="s">
        <v>236</v>
      </c>
      <c r="C23" t="s">
        <v>28</v>
      </c>
      <c r="D23" t="s">
        <v>237</v>
      </c>
      <c r="E23">
        <v>4</v>
      </c>
      <c r="F23" t="s">
        <v>238</v>
      </c>
      <c r="G23" t="s">
        <v>96</v>
      </c>
      <c r="H23">
        <v>100</v>
      </c>
      <c r="I23">
        <v>0.3</v>
      </c>
      <c r="J23">
        <v>60</v>
      </c>
      <c r="K23">
        <v>0.3</v>
      </c>
      <c r="L23">
        <v>0.6</v>
      </c>
      <c r="M23">
        <v>0.1</v>
      </c>
      <c r="N23" t="s">
        <v>231</v>
      </c>
      <c r="O23" t="s">
        <v>232</v>
      </c>
      <c r="P23" t="s">
        <v>294</v>
      </c>
    </row>
    <row r="24" spans="1:17">
      <c r="A24" t="s">
        <v>241</v>
      </c>
      <c r="B24" t="s">
        <v>242</v>
      </c>
      <c r="C24" t="s">
        <v>243</v>
      </c>
      <c r="D24" t="s">
        <v>230</v>
      </c>
      <c r="E24" t="s">
        <v>43</v>
      </c>
      <c r="G24" t="s">
        <v>96</v>
      </c>
      <c r="H24">
        <v>100</v>
      </c>
      <c r="I24">
        <v>0.3</v>
      </c>
      <c r="J24">
        <v>109</v>
      </c>
      <c r="K24">
        <v>1.21</v>
      </c>
      <c r="L24">
        <v>1.51</v>
      </c>
      <c r="M24">
        <v>0.1</v>
      </c>
      <c r="N24" t="s">
        <v>231</v>
      </c>
      <c r="O24" t="s">
        <v>232</v>
      </c>
      <c r="P24" t="s">
        <v>294</v>
      </c>
    </row>
    <row r="25" spans="1:17" ht="127.5">
      <c r="A25" t="s">
        <v>246</v>
      </c>
      <c r="B25" t="s">
        <v>247</v>
      </c>
      <c r="C25" t="s">
        <v>28</v>
      </c>
      <c r="D25" t="s">
        <v>230</v>
      </c>
      <c r="E25" t="s">
        <v>43</v>
      </c>
      <c r="G25" t="s">
        <v>32</v>
      </c>
      <c r="H25">
        <v>100</v>
      </c>
      <c r="I25">
        <v>0.62</v>
      </c>
      <c r="J25">
        <v>102</v>
      </c>
      <c r="K25">
        <v>0.4</v>
      </c>
      <c r="L25">
        <v>1</v>
      </c>
      <c r="M25">
        <v>0.1</v>
      </c>
      <c r="N25" t="s">
        <v>231</v>
      </c>
      <c r="O25" t="s">
        <v>232</v>
      </c>
      <c r="P25" t="s">
        <v>294</v>
      </c>
      <c r="Q25" s="43" t="s">
        <v>298</v>
      </c>
    </row>
  </sheetData>
  <hyperlinks>
    <hyperlink ref="P3" r:id="rId1" xr:uid="{0DAA6516-A524-49AF-840D-318894D0EC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50DE-73F3-4B6C-BD38-7B2F39DC44DC}">
  <dimension ref="A1:Q26"/>
  <sheetViews>
    <sheetView workbookViewId="0">
      <pane ySplit="1" topLeftCell="A2" activePane="bottomLeft" state="frozen"/>
      <selection activeCell="R32" sqref="R32:R33"/>
      <selection pane="bottomLeft" activeCell="O26" sqref="O26"/>
    </sheetView>
  </sheetViews>
  <sheetFormatPr defaultColWidth="8.85546875" defaultRowHeight="15"/>
  <cols>
    <col min="1" max="1" width="14.140625" style="37" bestFit="1" customWidth="1"/>
    <col min="2" max="2" width="26.85546875" style="37" bestFit="1" customWidth="1"/>
    <col min="3" max="3" width="12.140625" style="37" bestFit="1" customWidth="1"/>
    <col min="4" max="4" width="25.140625" style="37" bestFit="1" customWidth="1"/>
    <col min="5" max="6" width="15.42578125" style="37" bestFit="1" customWidth="1"/>
    <col min="7" max="7" width="8.5703125" style="37" bestFit="1" customWidth="1"/>
    <col min="8" max="8" width="5.85546875" style="37" bestFit="1" customWidth="1"/>
    <col min="9" max="9" width="6.140625" style="37" bestFit="1" customWidth="1"/>
    <col min="10" max="10" width="8.42578125" style="37" bestFit="1" customWidth="1"/>
    <col min="11" max="12" width="9.85546875" style="37" bestFit="1" customWidth="1"/>
    <col min="13" max="13" width="8.5703125" style="37" bestFit="1" customWidth="1"/>
    <col min="14" max="14" width="14.5703125" style="37" bestFit="1" customWidth="1"/>
    <col min="15" max="15" width="48.42578125" style="37" customWidth="1"/>
    <col min="16" max="16" width="72.85546875" style="37" customWidth="1"/>
    <col min="17" max="17" width="7.85546875" style="37" bestFit="1" customWidth="1"/>
    <col min="18" max="16384" width="8.85546875" style="37"/>
  </cols>
  <sheetData>
    <row r="1" spans="1:17" s="42" customFormat="1" ht="75">
      <c r="A1" s="41" t="s">
        <v>302</v>
      </c>
      <c r="B1" s="41" t="s">
        <v>303</v>
      </c>
      <c r="C1" s="41" t="s">
        <v>1</v>
      </c>
      <c r="D1" s="41" t="s">
        <v>2</v>
      </c>
      <c r="E1" s="41" t="s">
        <v>304</v>
      </c>
      <c r="F1" s="41" t="s">
        <v>305</v>
      </c>
      <c r="G1" s="41" t="s">
        <v>5</v>
      </c>
      <c r="H1" s="41" t="s">
        <v>6</v>
      </c>
      <c r="I1" s="41" t="s">
        <v>306</v>
      </c>
      <c r="J1" s="41" t="s">
        <v>8</v>
      </c>
      <c r="K1" s="41" t="s">
        <v>9</v>
      </c>
      <c r="L1" s="41" t="s">
        <v>10</v>
      </c>
      <c r="M1" s="41" t="s">
        <v>307</v>
      </c>
      <c r="N1" s="41" t="s">
        <v>14</v>
      </c>
      <c r="O1" s="41" t="s">
        <v>15</v>
      </c>
      <c r="P1" s="41" t="s">
        <v>16</v>
      </c>
      <c r="Q1" s="41" t="s">
        <v>18</v>
      </c>
    </row>
    <row r="2" spans="1:17" ht="30">
      <c r="A2" s="73" t="s">
        <v>308</v>
      </c>
      <c r="B2" s="74" t="s">
        <v>309</v>
      </c>
      <c r="C2" s="34" t="s">
        <v>310</v>
      </c>
      <c r="D2" s="74" t="s">
        <v>311</v>
      </c>
      <c r="E2" s="73" t="s">
        <v>30</v>
      </c>
      <c r="F2" s="73" t="s">
        <v>23</v>
      </c>
      <c r="G2" s="34" t="s">
        <v>312</v>
      </c>
      <c r="H2" s="34">
        <v>60</v>
      </c>
      <c r="I2" s="34">
        <v>0.67</v>
      </c>
      <c r="J2" s="34">
        <v>5.29</v>
      </c>
      <c r="K2" s="73" t="s">
        <v>313</v>
      </c>
      <c r="L2" s="73" t="s">
        <v>23</v>
      </c>
      <c r="M2" s="35">
        <v>0.1</v>
      </c>
      <c r="N2" s="73" t="s">
        <v>314</v>
      </c>
      <c r="O2" s="82" t="s">
        <v>315</v>
      </c>
      <c r="P2" s="82" t="s">
        <v>316</v>
      </c>
      <c r="Q2" s="74" t="s">
        <v>317</v>
      </c>
    </row>
    <row r="3" spans="1:17" ht="30">
      <c r="A3" s="73"/>
      <c r="B3" s="75"/>
      <c r="C3" s="34" t="s">
        <v>28</v>
      </c>
      <c r="D3" s="75"/>
      <c r="E3" s="73"/>
      <c r="F3" s="73"/>
      <c r="G3" s="34" t="s">
        <v>318</v>
      </c>
      <c r="H3" s="34">
        <v>80</v>
      </c>
      <c r="I3" s="34">
        <v>0.67</v>
      </c>
      <c r="J3" s="34">
        <v>7.22</v>
      </c>
      <c r="K3" s="73"/>
      <c r="L3" s="73"/>
      <c r="M3" s="35">
        <v>0.1</v>
      </c>
      <c r="N3" s="73"/>
      <c r="O3" s="82"/>
      <c r="P3" s="82"/>
      <c r="Q3" s="75"/>
    </row>
    <row r="4" spans="1:17" ht="45">
      <c r="A4" s="73" t="s">
        <v>319</v>
      </c>
      <c r="B4" s="74" t="s">
        <v>320</v>
      </c>
      <c r="C4" s="34" t="s">
        <v>28</v>
      </c>
      <c r="D4" s="74" t="s">
        <v>321</v>
      </c>
      <c r="E4" s="74" t="s">
        <v>30</v>
      </c>
      <c r="F4" s="74" t="s">
        <v>23</v>
      </c>
      <c r="G4" s="34" t="s">
        <v>322</v>
      </c>
      <c r="H4" s="34">
        <v>80</v>
      </c>
      <c r="I4" s="34">
        <v>0.46</v>
      </c>
      <c r="J4" s="34">
        <v>9.3130000000000006</v>
      </c>
      <c r="K4" s="34" t="s">
        <v>313</v>
      </c>
      <c r="L4" s="34" t="s">
        <v>23</v>
      </c>
      <c r="M4" s="35">
        <v>0.1</v>
      </c>
      <c r="N4" s="73" t="s">
        <v>99</v>
      </c>
      <c r="O4" s="82" t="s">
        <v>323</v>
      </c>
      <c r="P4" s="83" t="s">
        <v>324</v>
      </c>
      <c r="Q4" s="74" t="s">
        <v>317</v>
      </c>
    </row>
    <row r="5" spans="1:17" ht="45">
      <c r="A5" s="73"/>
      <c r="B5" s="75"/>
      <c r="C5" s="34" t="s">
        <v>108</v>
      </c>
      <c r="D5" s="75"/>
      <c r="E5" s="75"/>
      <c r="F5" s="75"/>
      <c r="G5" s="34" t="s">
        <v>325</v>
      </c>
      <c r="H5" s="34">
        <v>70</v>
      </c>
      <c r="I5" s="34">
        <v>0.46</v>
      </c>
      <c r="J5" s="34">
        <v>5.31</v>
      </c>
      <c r="K5" s="34"/>
      <c r="L5" s="34"/>
      <c r="M5" s="35"/>
      <c r="N5" s="73"/>
      <c r="O5" s="82"/>
      <c r="P5" s="83"/>
      <c r="Q5" s="75"/>
    </row>
    <row r="6" spans="1:17" ht="45">
      <c r="A6" s="73" t="s">
        <v>326</v>
      </c>
      <c r="B6" s="73" t="s">
        <v>327</v>
      </c>
      <c r="C6" s="34" t="s">
        <v>197</v>
      </c>
      <c r="D6" s="74" t="s">
        <v>321</v>
      </c>
      <c r="E6" s="74" t="s">
        <v>30</v>
      </c>
      <c r="F6" s="74" t="s">
        <v>23</v>
      </c>
      <c r="G6" s="34" t="s">
        <v>328</v>
      </c>
      <c r="H6" s="34">
        <v>50</v>
      </c>
      <c r="I6" s="34">
        <v>0.7</v>
      </c>
      <c r="J6" s="34">
        <v>3.85</v>
      </c>
      <c r="K6" s="34" t="s">
        <v>313</v>
      </c>
      <c r="L6" s="34" t="s">
        <v>23</v>
      </c>
      <c r="M6" s="35">
        <v>0.1</v>
      </c>
      <c r="N6" s="74" t="s">
        <v>191</v>
      </c>
      <c r="O6" s="76" t="s">
        <v>329</v>
      </c>
      <c r="P6" s="79" t="s">
        <v>330</v>
      </c>
      <c r="Q6" s="74" t="s">
        <v>317</v>
      </c>
    </row>
    <row r="7" spans="1:17" ht="45">
      <c r="A7" s="73"/>
      <c r="B7" s="73"/>
      <c r="C7" s="34" t="s">
        <v>108</v>
      </c>
      <c r="D7" s="80"/>
      <c r="E7" s="80"/>
      <c r="F7" s="80"/>
      <c r="G7" s="34" t="s">
        <v>325</v>
      </c>
      <c r="H7" s="34">
        <v>70</v>
      </c>
      <c r="I7" s="34">
        <v>0.7</v>
      </c>
      <c r="J7" s="34">
        <v>5.77</v>
      </c>
      <c r="K7" s="34" t="s">
        <v>313</v>
      </c>
      <c r="L7" s="34" t="s">
        <v>23</v>
      </c>
      <c r="M7" s="35">
        <v>0.1</v>
      </c>
      <c r="N7" s="80"/>
      <c r="O7" s="77"/>
      <c r="P7" s="77"/>
      <c r="Q7" s="80"/>
    </row>
    <row r="8" spans="1:17" ht="45.75" thickBot="1">
      <c r="A8" s="73"/>
      <c r="B8" s="73"/>
      <c r="C8" s="34" t="s">
        <v>28</v>
      </c>
      <c r="D8" s="81"/>
      <c r="E8" s="81"/>
      <c r="F8" s="81"/>
      <c r="G8" s="34" t="s">
        <v>322</v>
      </c>
      <c r="H8" s="34">
        <v>80</v>
      </c>
      <c r="I8" s="34">
        <v>0.7</v>
      </c>
      <c r="J8" s="34">
        <v>7.92</v>
      </c>
      <c r="K8" s="34" t="s">
        <v>313</v>
      </c>
      <c r="L8" s="34" t="s">
        <v>23</v>
      </c>
      <c r="M8" s="35">
        <v>0.1</v>
      </c>
      <c r="N8" s="81"/>
      <c r="O8" s="78"/>
      <c r="P8" s="78"/>
      <c r="Q8" s="75"/>
    </row>
    <row r="9" spans="1:17" ht="15.75" thickBot="1">
      <c r="A9" s="84" t="s">
        <v>331</v>
      </c>
      <c r="B9" s="84" t="s">
        <v>332</v>
      </c>
      <c r="C9" s="38" t="s">
        <v>310</v>
      </c>
      <c r="D9" s="38" t="s">
        <v>333</v>
      </c>
      <c r="E9" s="84" t="s">
        <v>334</v>
      </c>
      <c r="F9" s="84" t="s">
        <v>334</v>
      </c>
      <c r="G9" s="38">
        <v>70</v>
      </c>
      <c r="H9" s="38">
        <v>70</v>
      </c>
      <c r="I9" s="38">
        <v>0.76</v>
      </c>
      <c r="J9" s="38">
        <v>4.33</v>
      </c>
      <c r="K9" s="84" t="s">
        <v>335</v>
      </c>
      <c r="L9" s="84" t="s">
        <v>335</v>
      </c>
      <c r="M9" s="88">
        <v>0.08</v>
      </c>
      <c r="N9" s="84" t="s">
        <v>314</v>
      </c>
      <c r="O9" s="86" t="s">
        <v>336</v>
      </c>
      <c r="P9" s="86" t="s">
        <v>337</v>
      </c>
      <c r="Q9" s="84" t="s">
        <v>317</v>
      </c>
    </row>
    <row r="10" spans="1:17" ht="15.75" thickBot="1">
      <c r="A10" s="85"/>
      <c r="B10" s="85"/>
      <c r="C10" s="38" t="s">
        <v>28</v>
      </c>
      <c r="D10" s="38" t="s">
        <v>333</v>
      </c>
      <c r="E10" s="85"/>
      <c r="F10" s="85"/>
      <c r="G10" s="38">
        <v>100</v>
      </c>
      <c r="H10" s="38">
        <v>100</v>
      </c>
      <c r="I10" s="38">
        <v>0.76</v>
      </c>
      <c r="J10" s="38">
        <v>6.93</v>
      </c>
      <c r="K10" s="85"/>
      <c r="L10" s="85"/>
      <c r="M10" s="89"/>
      <c r="N10" s="85"/>
      <c r="O10" s="87"/>
      <c r="P10" s="87"/>
      <c r="Q10" s="85"/>
    </row>
    <row r="11" spans="1:17" ht="39" thickBot="1">
      <c r="A11" s="38" t="s">
        <v>338</v>
      </c>
      <c r="B11" s="38" t="s">
        <v>339</v>
      </c>
      <c r="C11" s="38" t="s">
        <v>28</v>
      </c>
      <c r="D11" s="38" t="s">
        <v>333</v>
      </c>
      <c r="E11" s="38" t="s">
        <v>334</v>
      </c>
      <c r="F11" s="38" t="s">
        <v>334</v>
      </c>
      <c r="G11" s="38" t="s">
        <v>340</v>
      </c>
      <c r="H11" s="38">
        <v>100</v>
      </c>
      <c r="I11" s="38">
        <v>0.91</v>
      </c>
      <c r="J11" s="38">
        <v>7.18</v>
      </c>
      <c r="K11" s="38" t="s">
        <v>335</v>
      </c>
      <c r="L11" s="38" t="s">
        <v>335</v>
      </c>
      <c r="M11" s="39">
        <v>0.08</v>
      </c>
      <c r="N11" s="38" t="s">
        <v>314</v>
      </c>
      <c r="O11" s="40" t="s">
        <v>341</v>
      </c>
      <c r="P11" s="40" t="s">
        <v>342</v>
      </c>
      <c r="Q11" s="38" t="s">
        <v>317</v>
      </c>
    </row>
    <row r="12" spans="1:17" ht="26.25" thickBot="1">
      <c r="A12" s="84" t="s">
        <v>343</v>
      </c>
      <c r="B12" s="84" t="s">
        <v>344</v>
      </c>
      <c r="C12" s="38" t="s">
        <v>310</v>
      </c>
      <c r="D12" s="84" t="s">
        <v>345</v>
      </c>
      <c r="E12" s="38">
        <v>1.905</v>
      </c>
      <c r="F12" s="38" t="s">
        <v>346</v>
      </c>
      <c r="G12" s="38" t="s">
        <v>347</v>
      </c>
      <c r="H12" s="38">
        <v>70</v>
      </c>
      <c r="I12" s="38">
        <v>0.45</v>
      </c>
      <c r="J12" s="38">
        <v>7.9</v>
      </c>
      <c r="K12" s="84" t="s">
        <v>348</v>
      </c>
      <c r="L12" s="84" t="s">
        <v>348</v>
      </c>
      <c r="M12" s="88">
        <v>0.1</v>
      </c>
      <c r="N12" s="84" t="s">
        <v>99</v>
      </c>
      <c r="O12" s="86" t="s">
        <v>349</v>
      </c>
      <c r="P12" s="86" t="s">
        <v>350</v>
      </c>
      <c r="Q12" s="38" t="s">
        <v>351</v>
      </c>
    </row>
    <row r="13" spans="1:17" ht="26.25" thickBot="1">
      <c r="A13" s="85"/>
      <c r="B13" s="85"/>
      <c r="C13" s="38" t="s">
        <v>28</v>
      </c>
      <c r="D13" s="85"/>
      <c r="E13" s="38">
        <v>1.905</v>
      </c>
      <c r="F13" s="38"/>
      <c r="G13" s="38" t="s">
        <v>340</v>
      </c>
      <c r="H13" s="38">
        <v>100</v>
      </c>
      <c r="I13" s="38">
        <v>0.45</v>
      </c>
      <c r="J13" s="38">
        <v>15.48</v>
      </c>
      <c r="K13" s="85"/>
      <c r="L13" s="85"/>
      <c r="M13" s="89"/>
      <c r="N13" s="85"/>
      <c r="O13" s="87"/>
      <c r="P13" s="87"/>
      <c r="Q13" s="38"/>
    </row>
    <row r="14" spans="1:17" ht="25.5" customHeight="1" thickBot="1">
      <c r="A14" s="90" t="s">
        <v>352</v>
      </c>
      <c r="B14" s="90" t="s">
        <v>353</v>
      </c>
      <c r="C14" s="38" t="s">
        <v>108</v>
      </c>
      <c r="D14" s="38" t="s">
        <v>345</v>
      </c>
      <c r="E14" s="38">
        <v>1.905</v>
      </c>
      <c r="F14" s="38" t="s">
        <v>354</v>
      </c>
      <c r="G14" s="38">
        <v>70</v>
      </c>
      <c r="H14" s="38">
        <v>70</v>
      </c>
      <c r="I14" s="38">
        <v>0.51</v>
      </c>
      <c r="J14" s="38">
        <v>9.5</v>
      </c>
      <c r="K14" s="90" t="s">
        <v>348</v>
      </c>
      <c r="L14" s="90" t="s">
        <v>348</v>
      </c>
      <c r="M14" s="92">
        <v>0.1</v>
      </c>
      <c r="N14" s="90" t="s">
        <v>314</v>
      </c>
      <c r="O14" s="94" t="s">
        <v>355</v>
      </c>
      <c r="P14" s="94" t="s">
        <v>356</v>
      </c>
      <c r="Q14" s="38" t="s">
        <v>317</v>
      </c>
    </row>
    <row r="15" spans="1:17" ht="15.75" thickBot="1">
      <c r="A15" s="91"/>
      <c r="B15" s="91"/>
      <c r="C15" s="38" t="s">
        <v>28</v>
      </c>
      <c r="D15" s="38"/>
      <c r="E15" s="38">
        <v>1.905</v>
      </c>
      <c r="F15" s="38"/>
      <c r="G15" s="38">
        <v>100</v>
      </c>
      <c r="H15" s="38">
        <v>100</v>
      </c>
      <c r="I15" s="38">
        <v>0.51</v>
      </c>
      <c r="J15" s="38">
        <v>14.29</v>
      </c>
      <c r="K15" s="91"/>
      <c r="L15" s="91"/>
      <c r="M15" s="93"/>
      <c r="N15" s="91"/>
      <c r="O15" s="95"/>
      <c r="P15" s="95"/>
      <c r="Q15" s="38"/>
    </row>
    <row r="16" spans="1:17" ht="25.5" customHeight="1" thickBot="1">
      <c r="A16" s="90" t="s">
        <v>357</v>
      </c>
      <c r="B16" s="90" t="s">
        <v>358</v>
      </c>
      <c r="C16" s="38" t="s">
        <v>108</v>
      </c>
      <c r="D16" s="38" t="s">
        <v>345</v>
      </c>
      <c r="E16" s="38">
        <v>1.905</v>
      </c>
      <c r="F16" s="90" t="s">
        <v>346</v>
      </c>
      <c r="G16" s="38">
        <v>70</v>
      </c>
      <c r="H16" s="38">
        <v>70</v>
      </c>
      <c r="I16" s="38">
        <v>0.44</v>
      </c>
      <c r="J16" s="38">
        <v>9.1199999999999992</v>
      </c>
      <c r="K16" s="90" t="s">
        <v>348</v>
      </c>
      <c r="L16" s="90" t="s">
        <v>348</v>
      </c>
      <c r="M16" s="92">
        <v>7.0000000000000007E-2</v>
      </c>
      <c r="N16" s="90" t="s">
        <v>314</v>
      </c>
      <c r="O16" s="94" t="s">
        <v>359</v>
      </c>
      <c r="P16" s="94" t="s">
        <v>360</v>
      </c>
      <c r="Q16" s="38" t="s">
        <v>317</v>
      </c>
    </row>
    <row r="17" spans="1:17" ht="15.75" thickBot="1">
      <c r="A17" s="91"/>
      <c r="B17" s="91"/>
      <c r="C17" s="38" t="s">
        <v>28</v>
      </c>
      <c r="D17" s="38"/>
      <c r="E17" s="38">
        <v>1.905</v>
      </c>
      <c r="F17" s="91"/>
      <c r="G17" s="38">
        <v>100</v>
      </c>
      <c r="H17" s="38">
        <v>100</v>
      </c>
      <c r="I17" s="38">
        <v>0.44</v>
      </c>
      <c r="J17" s="38">
        <v>16.77</v>
      </c>
      <c r="K17" s="91"/>
      <c r="L17" s="91"/>
      <c r="M17" s="93"/>
      <c r="N17" s="91"/>
      <c r="O17" s="95"/>
      <c r="P17" s="95"/>
      <c r="Q17" s="38"/>
    </row>
    <row r="18" spans="1:17" ht="39" thickBot="1">
      <c r="A18" s="38" t="s">
        <v>361</v>
      </c>
      <c r="B18" s="38" t="s">
        <v>361</v>
      </c>
      <c r="C18" s="38" t="s">
        <v>28</v>
      </c>
      <c r="D18" s="38" t="s">
        <v>362</v>
      </c>
      <c r="E18" s="38">
        <v>1.905</v>
      </c>
      <c r="F18" s="38" t="s">
        <v>354</v>
      </c>
      <c r="G18" s="38" t="s">
        <v>340</v>
      </c>
      <c r="H18" s="38">
        <v>100</v>
      </c>
      <c r="I18" s="38">
        <v>0.73</v>
      </c>
      <c r="J18" s="38">
        <v>11.1</v>
      </c>
      <c r="K18" s="38" t="s">
        <v>348</v>
      </c>
      <c r="L18" s="38" t="s">
        <v>348</v>
      </c>
      <c r="M18" s="39">
        <v>0.1</v>
      </c>
      <c r="N18" s="38" t="s">
        <v>99</v>
      </c>
      <c r="O18" s="40" t="s">
        <v>363</v>
      </c>
      <c r="P18" s="40" t="s">
        <v>364</v>
      </c>
      <c r="Q18" s="38" t="s">
        <v>317</v>
      </c>
    </row>
    <row r="19" spans="1:17" ht="26.25" thickBot="1">
      <c r="A19" s="90" t="s">
        <v>365</v>
      </c>
      <c r="B19" s="90" t="s">
        <v>366</v>
      </c>
      <c r="C19" s="38" t="s">
        <v>108</v>
      </c>
      <c r="D19" s="90" t="s">
        <v>333</v>
      </c>
      <c r="E19" s="90" t="s">
        <v>23</v>
      </c>
      <c r="F19" s="38" t="s">
        <v>334</v>
      </c>
      <c r="G19" s="38">
        <v>70</v>
      </c>
      <c r="H19" s="38">
        <v>70</v>
      </c>
      <c r="I19" s="38">
        <v>0.61</v>
      </c>
      <c r="J19" s="38">
        <v>4</v>
      </c>
      <c r="K19" s="38" t="s">
        <v>335</v>
      </c>
      <c r="L19" s="38" t="s">
        <v>335</v>
      </c>
      <c r="M19" s="39">
        <v>0.08</v>
      </c>
      <c r="N19" s="90" t="s">
        <v>99</v>
      </c>
      <c r="O19" s="94" t="s">
        <v>367</v>
      </c>
      <c r="P19" s="94" t="s">
        <v>368</v>
      </c>
      <c r="Q19" s="38" t="s">
        <v>317</v>
      </c>
    </row>
    <row r="20" spans="1:17" ht="26.25" thickBot="1">
      <c r="A20" s="91"/>
      <c r="B20" s="91"/>
      <c r="C20" s="38" t="s">
        <v>28</v>
      </c>
      <c r="D20" s="91"/>
      <c r="E20" s="91"/>
      <c r="F20" s="38" t="s">
        <v>334</v>
      </c>
      <c r="G20" s="38">
        <v>100</v>
      </c>
      <c r="H20" s="38">
        <v>100</v>
      </c>
      <c r="I20" s="38">
        <v>1.7549999999999999</v>
      </c>
      <c r="J20" s="38">
        <v>6.71</v>
      </c>
      <c r="K20" s="38" t="s">
        <v>335</v>
      </c>
      <c r="L20" s="38" t="s">
        <v>335</v>
      </c>
      <c r="M20" s="39">
        <v>0.08</v>
      </c>
      <c r="N20" s="91"/>
      <c r="O20" s="95"/>
      <c r="P20" s="95"/>
      <c r="Q20" s="38"/>
    </row>
    <row r="21" spans="1:17" ht="38.1" customHeight="1" thickBot="1">
      <c r="A21" s="90" t="s">
        <v>369</v>
      </c>
      <c r="B21" s="90" t="s">
        <v>370</v>
      </c>
      <c r="C21" s="38" t="s">
        <v>108</v>
      </c>
      <c r="D21" s="90" t="s">
        <v>333</v>
      </c>
      <c r="E21" s="36"/>
      <c r="F21" s="38" t="s">
        <v>334</v>
      </c>
      <c r="G21" s="38">
        <v>70</v>
      </c>
      <c r="H21" s="38">
        <v>70</v>
      </c>
      <c r="I21" s="38">
        <v>0.61</v>
      </c>
      <c r="J21" s="38">
        <v>4</v>
      </c>
      <c r="K21" s="38" t="s">
        <v>335</v>
      </c>
      <c r="L21" s="38" t="s">
        <v>335</v>
      </c>
      <c r="M21" s="39">
        <v>0.08</v>
      </c>
      <c r="N21" s="90" t="s">
        <v>99</v>
      </c>
      <c r="O21" s="94" t="s">
        <v>371</v>
      </c>
      <c r="P21" s="94" t="s">
        <v>372</v>
      </c>
      <c r="Q21" s="38"/>
    </row>
    <row r="22" spans="1:17" ht="26.25" thickBot="1">
      <c r="A22" s="91"/>
      <c r="B22" s="91"/>
      <c r="C22" s="38" t="s">
        <v>28</v>
      </c>
      <c r="D22" s="91"/>
      <c r="E22" s="36"/>
      <c r="F22" s="38" t="s">
        <v>334</v>
      </c>
      <c r="G22" s="38">
        <v>100</v>
      </c>
      <c r="H22" s="38">
        <v>100</v>
      </c>
      <c r="I22" s="38">
        <v>0.61</v>
      </c>
      <c r="J22" s="38">
        <v>6.71</v>
      </c>
      <c r="K22" s="38" t="s">
        <v>335</v>
      </c>
      <c r="L22" s="38" t="s">
        <v>335</v>
      </c>
      <c r="M22" s="39"/>
      <c r="N22" s="91"/>
      <c r="O22" s="95"/>
      <c r="P22" s="95"/>
      <c r="Q22" s="38"/>
    </row>
    <row r="23" spans="1:17" ht="77.25" thickBot="1">
      <c r="A23" s="38" t="s">
        <v>373</v>
      </c>
      <c r="B23" s="38" t="s">
        <v>374</v>
      </c>
      <c r="C23" s="38" t="s">
        <v>28</v>
      </c>
      <c r="D23" s="38" t="s">
        <v>333</v>
      </c>
      <c r="E23" s="38" t="s">
        <v>23</v>
      </c>
      <c r="F23" s="38" t="s">
        <v>375</v>
      </c>
      <c r="G23" s="38">
        <v>100</v>
      </c>
      <c r="H23" s="38">
        <v>100</v>
      </c>
      <c r="I23" s="38" t="s">
        <v>376</v>
      </c>
      <c r="J23" s="38">
        <v>8.3000000000000007</v>
      </c>
      <c r="K23" s="38" t="s">
        <v>335</v>
      </c>
      <c r="L23" s="38" t="s">
        <v>335</v>
      </c>
      <c r="M23" s="39">
        <v>0.08</v>
      </c>
      <c r="N23" s="38" t="s">
        <v>99</v>
      </c>
      <c r="O23" s="40" t="s">
        <v>377</v>
      </c>
      <c r="P23" s="40" t="s">
        <v>378</v>
      </c>
      <c r="Q23" s="38" t="s">
        <v>317</v>
      </c>
    </row>
    <row r="24" spans="1:17" ht="26.25" thickBot="1">
      <c r="A24" s="90" t="s">
        <v>379</v>
      </c>
      <c r="B24" s="90" t="s">
        <v>380</v>
      </c>
      <c r="C24" s="38" t="s">
        <v>108</v>
      </c>
      <c r="D24" s="38" t="s">
        <v>333</v>
      </c>
      <c r="E24" s="38" t="s">
        <v>23</v>
      </c>
      <c r="F24" s="38" t="s">
        <v>375</v>
      </c>
      <c r="G24" s="38">
        <v>70</v>
      </c>
      <c r="H24" s="38">
        <v>70</v>
      </c>
      <c r="I24" s="38">
        <v>0.61</v>
      </c>
      <c r="J24" s="38">
        <v>4.2</v>
      </c>
      <c r="K24" s="38" t="s">
        <v>335</v>
      </c>
      <c r="L24" s="38" t="s">
        <v>335</v>
      </c>
      <c r="M24" s="39">
        <v>0.08</v>
      </c>
      <c r="N24" s="38" t="s">
        <v>381</v>
      </c>
      <c r="O24" s="94" t="s">
        <v>382</v>
      </c>
      <c r="P24" s="94" t="s">
        <v>383</v>
      </c>
      <c r="Q24" s="38" t="s">
        <v>317</v>
      </c>
    </row>
    <row r="25" spans="1:17" ht="26.25" thickBot="1">
      <c r="A25" s="91"/>
      <c r="B25" s="91"/>
      <c r="C25" s="38" t="s">
        <v>28</v>
      </c>
      <c r="D25" s="38" t="s">
        <v>333</v>
      </c>
      <c r="E25" s="38" t="s">
        <v>23</v>
      </c>
      <c r="F25" s="38" t="s">
        <v>375</v>
      </c>
      <c r="G25" s="38">
        <v>100</v>
      </c>
      <c r="H25" s="38">
        <v>100</v>
      </c>
      <c r="I25" s="38">
        <v>0.61</v>
      </c>
      <c r="J25" s="38">
        <v>6.6</v>
      </c>
      <c r="K25" s="38" t="s">
        <v>335</v>
      </c>
      <c r="L25" s="38" t="s">
        <v>335</v>
      </c>
      <c r="M25" s="39">
        <v>0.08</v>
      </c>
      <c r="N25" s="38"/>
      <c r="O25" s="95"/>
      <c r="P25" s="95"/>
      <c r="Q25" s="38"/>
    </row>
    <row r="26" spans="1:17" ht="26.25" thickBot="1">
      <c r="A26" s="38" t="s">
        <v>384</v>
      </c>
      <c r="B26" s="38" t="s">
        <v>385</v>
      </c>
      <c r="C26" s="38" t="s">
        <v>28</v>
      </c>
      <c r="D26" s="38" t="s">
        <v>333</v>
      </c>
      <c r="E26" s="38" t="s">
        <v>23</v>
      </c>
      <c r="F26" s="38" t="s">
        <v>375</v>
      </c>
      <c r="G26" s="38" t="s">
        <v>340</v>
      </c>
      <c r="H26" s="38">
        <v>100</v>
      </c>
      <c r="I26" s="38">
        <v>0.59</v>
      </c>
      <c r="J26" s="38">
        <v>5.83</v>
      </c>
      <c r="K26" s="38" t="s">
        <v>335</v>
      </c>
      <c r="L26" s="38" t="s">
        <v>335</v>
      </c>
      <c r="M26" s="39">
        <v>0.08</v>
      </c>
      <c r="N26" s="38" t="s">
        <v>314</v>
      </c>
      <c r="O26" s="40" t="s">
        <v>386</v>
      </c>
      <c r="P26" s="40" t="s">
        <v>387</v>
      </c>
      <c r="Q26" s="38" t="s">
        <v>317</v>
      </c>
    </row>
  </sheetData>
  <mergeCells count="83">
    <mergeCell ref="N21:N22"/>
    <mergeCell ref="B24:B25"/>
    <mergeCell ref="A24:A25"/>
    <mergeCell ref="O24:O25"/>
    <mergeCell ref="P24:P25"/>
    <mergeCell ref="O21:O22"/>
    <mergeCell ref="P21:P22"/>
    <mergeCell ref="B21:B22"/>
    <mergeCell ref="A21:A22"/>
    <mergeCell ref="D21:D22"/>
    <mergeCell ref="O19:O20"/>
    <mergeCell ref="N19:N20"/>
    <mergeCell ref="A19:A20"/>
    <mergeCell ref="E19:E20"/>
    <mergeCell ref="P19:P20"/>
    <mergeCell ref="B19:B20"/>
    <mergeCell ref="D19:D20"/>
    <mergeCell ref="L16:L17"/>
    <mergeCell ref="K16:K17"/>
    <mergeCell ref="F16:F17"/>
    <mergeCell ref="B16:B17"/>
    <mergeCell ref="A16:A17"/>
    <mergeCell ref="M16:M17"/>
    <mergeCell ref="M12:M13"/>
    <mergeCell ref="N12:N13"/>
    <mergeCell ref="O12:O13"/>
    <mergeCell ref="P12:P13"/>
    <mergeCell ref="N14:N15"/>
    <mergeCell ref="O14:O15"/>
    <mergeCell ref="P14:P15"/>
    <mergeCell ref="P16:P17"/>
    <mergeCell ref="O16:O17"/>
    <mergeCell ref="N16:N17"/>
    <mergeCell ref="A14:A15"/>
    <mergeCell ref="B14:B15"/>
    <mergeCell ref="K14:K15"/>
    <mergeCell ref="L14:L15"/>
    <mergeCell ref="M14:M15"/>
    <mergeCell ref="F9:F10"/>
    <mergeCell ref="A9:A10"/>
    <mergeCell ref="Q9:Q10"/>
    <mergeCell ref="Q2:Q3"/>
    <mergeCell ref="Q4:Q5"/>
    <mergeCell ref="E4:E5"/>
    <mergeCell ref="F4:F5"/>
    <mergeCell ref="B9:B10"/>
    <mergeCell ref="O9:O10"/>
    <mergeCell ref="P9:P10"/>
    <mergeCell ref="N9:N10"/>
    <mergeCell ref="M9:M10"/>
    <mergeCell ref="K9:K10"/>
    <mergeCell ref="L9:L10"/>
    <mergeCell ref="E9:E10"/>
    <mergeCell ref="A6:A8"/>
    <mergeCell ref="A12:A13"/>
    <mergeCell ref="B12:B13"/>
    <mergeCell ref="D12:D13"/>
    <mergeCell ref="K12:K13"/>
    <mergeCell ref="L12:L13"/>
    <mergeCell ref="A4:A5"/>
    <mergeCell ref="A2:A3"/>
    <mergeCell ref="O6:O8"/>
    <mergeCell ref="P6:P8"/>
    <mergeCell ref="Q6:Q8"/>
    <mergeCell ref="N6:N8"/>
    <mergeCell ref="D6:D8"/>
    <mergeCell ref="E6:E8"/>
    <mergeCell ref="O2:O3"/>
    <mergeCell ref="N4:N5"/>
    <mergeCell ref="O4:O5"/>
    <mergeCell ref="P4:P5"/>
    <mergeCell ref="P2:P3"/>
    <mergeCell ref="B6:B8"/>
    <mergeCell ref="F6:F8"/>
    <mergeCell ref="D4:D5"/>
    <mergeCell ref="K2:K3"/>
    <mergeCell ref="L2:L3"/>
    <mergeCell ref="N2:N3"/>
    <mergeCell ref="B4:B5"/>
    <mergeCell ref="B2:B3"/>
    <mergeCell ref="D2:D3"/>
    <mergeCell ref="E2:E3"/>
    <mergeCell ref="F2:F3"/>
  </mergeCells>
  <hyperlinks>
    <hyperlink ref="O6" r:id="rId1" xr:uid="{B03BE0E8-56F5-4404-A135-955FE8D306A4}"/>
    <hyperlink ref="O4" r:id="rId2" xr:uid="{3CC72DBF-6E73-48CC-8E5C-1E1BA5904F30}"/>
    <hyperlink ref="P2" r:id="rId3" xr:uid="{EE110757-7147-4C81-849D-32BCBB464F0D}"/>
    <hyperlink ref="O2" r:id="rId4" xr:uid="{AD3FB6E1-F54D-4885-825D-EFD35C7C7102}"/>
    <hyperlink ref="P4" r:id="rId5" xr:uid="{C6196281-CDE6-459C-B471-96378BDFCF6F}"/>
    <hyperlink ref="P6" r:id="rId6" xr:uid="{6EEAF52D-5A0A-424D-A73E-16B21D61ED8A}"/>
    <hyperlink ref="O9" r:id="rId7" xr:uid="{A30DC1D9-ED8B-4D78-87A1-B47A98B6D1BE}"/>
    <hyperlink ref="O11" r:id="rId8" xr:uid="{D2C0DE10-7119-4C2B-978A-9BAAB7C100BC}"/>
    <hyperlink ref="O14" r:id="rId9" xr:uid="{D8A5B332-9D3C-4EAC-8CC3-5867FAF4CCC0}"/>
    <hyperlink ref="O23" r:id="rId10" xr:uid="{2CF39C52-ED0F-4475-AAA2-C3A573B0F518}"/>
    <hyperlink ref="P23" r:id="rId11" xr:uid="{23C8978B-9D01-43D8-BE00-50503ADE5627}"/>
    <hyperlink ref="P24" r:id="rId12" xr:uid="{D7975897-5880-4932-8023-FABF0FD2FED7}"/>
    <hyperlink ref="P26" r:id="rId13" xr:uid="{153E5CE2-2DB4-4CC0-8189-07CF8D73A1D5}"/>
    <hyperlink ref="P9" r:id="rId14" xr:uid="{79F40089-7D22-4321-9DAD-CA2416F9AFAB}"/>
    <hyperlink ref="P11" r:id="rId15" xr:uid="{46207212-7185-42BF-A480-30EE0A4DBC52}"/>
    <hyperlink ref="O12" r:id="rId16" xr:uid="{BDD5AA0E-E364-46DA-ADDC-DFAFB3F1A777}"/>
    <hyperlink ref="P12" r:id="rId17" xr:uid="{59E41C93-62ED-4E14-B148-242009220B43}"/>
    <hyperlink ref="O16" r:id="rId18" xr:uid="{0F20ABD7-A515-4AC3-BAED-D9EA786AC23B}"/>
    <hyperlink ref="P14" r:id="rId19" xr:uid="{6FAFB2BB-228D-48E9-9578-7A382FDFB977}"/>
    <hyperlink ref="O18" r:id="rId20" xr:uid="{2F47D506-6497-42A8-B9C6-22EC389B605F}"/>
    <hyperlink ref="P16" r:id="rId21" xr:uid="{A58D581E-AABC-46FA-BEB7-EEAFAC25C0FD}"/>
    <hyperlink ref="P18" r:id="rId22" xr:uid="{E0DF0143-A586-494A-987E-4F4E4ACAE79B}"/>
    <hyperlink ref="O19" r:id="rId23" xr:uid="{DF5D770B-98F4-4621-86FC-30FDF5B4F983}"/>
    <hyperlink ref="P19" r:id="rId24" xr:uid="{D2725E91-6881-4698-B21E-A45DB2B8FAC7}"/>
    <hyperlink ref="O21" r:id="rId25" xr:uid="{407B3637-0413-4230-9850-D728D001A3E2}"/>
    <hyperlink ref="P21" r:id="rId26" xr:uid="{422C01AD-E17D-49AC-A842-83F2AFF81D91}"/>
    <hyperlink ref="O24" r:id="rId27" xr:uid="{822C1018-4682-406D-97C5-DA272A10CD81}"/>
    <hyperlink ref="O26" r:id="rId28" xr:uid="{69E14CAB-63A0-4C65-BFCF-A5586F19A342}"/>
  </hyperlinks>
  <pageMargins left="0.7" right="0.7" top="0.75" bottom="0.75" header="0.3" footer="0.3"/>
  <pageSetup paperSize="9" orientation="portrait" horizontalDpi="360" verticalDpi="360"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1A19-6F05-4435-8B91-D8F064389895}">
  <dimension ref="A1:G53"/>
  <sheetViews>
    <sheetView workbookViewId="0">
      <selection activeCell="R32" sqref="R32:R33"/>
    </sheetView>
  </sheetViews>
  <sheetFormatPr defaultRowHeight="15.75"/>
  <cols>
    <col min="2" max="3" width="50.5703125" style="28" customWidth="1"/>
    <col min="4" max="4" width="39.5703125" bestFit="1" customWidth="1"/>
    <col min="5" max="5" width="2.85546875" style="31" bestFit="1" customWidth="1"/>
    <col min="6" max="6" width="55.42578125" style="30" bestFit="1" customWidth="1"/>
    <col min="7" max="7" width="60.5703125" style="31" bestFit="1" customWidth="1"/>
  </cols>
  <sheetData>
    <row r="1" spans="1:7">
      <c r="B1" s="26" t="s">
        <v>0</v>
      </c>
      <c r="C1" s="32"/>
      <c r="F1" s="26" t="s">
        <v>0</v>
      </c>
    </row>
    <row r="2" spans="1:7">
      <c r="A2">
        <v>1</v>
      </c>
      <c r="B2" s="27" t="s">
        <v>19</v>
      </c>
      <c r="C2" s="33" t="str">
        <f>CONCATENATE(A2,".",B2)</f>
        <v>1.Precast Concrete Barrier (PCB)</v>
      </c>
      <c r="D2" t="str">
        <f>"MD "&amp;""""&amp;C2&amp;""""</f>
        <v>MD "1.Precast Concrete Barrier (PCB)"</v>
      </c>
      <c r="E2" s="31">
        <v>1</v>
      </c>
      <c r="F2" s="29" t="s">
        <v>19</v>
      </c>
      <c r="G2" s="31" t="str">
        <f>"MD "&amp;""""&amp;F2&amp;""""</f>
        <v>MD "Precast Concrete Barrier (PCB)"</v>
      </c>
    </row>
    <row r="3" spans="1:7">
      <c r="A3">
        <v>2</v>
      </c>
      <c r="B3" s="27" t="s">
        <v>27</v>
      </c>
      <c r="C3" s="33" t="str">
        <f t="shared" ref="C3:C25" si="0">CONCATENATE(A3,".",B3)</f>
        <v>2.DB80 K150 Precast Concrete Barrier</v>
      </c>
      <c r="D3" t="str">
        <f t="shared" ref="D3:D25" si="1">"MD "&amp;""""&amp;C3&amp;""""</f>
        <v>MD "2.DB80 K150 Precast Concrete Barrier"</v>
      </c>
      <c r="E3" s="31">
        <v>2</v>
      </c>
      <c r="F3" s="27" t="s">
        <v>27</v>
      </c>
      <c r="G3" s="31" t="str">
        <f t="shared" ref="G3:G53" si="2">"MD "&amp;""""&amp;F3&amp;""""</f>
        <v>MD "DB80 K150 Precast Concrete Barrier"</v>
      </c>
    </row>
    <row r="4" spans="1:7">
      <c r="A4">
        <v>3</v>
      </c>
      <c r="B4" s="24" t="s">
        <v>42</v>
      </c>
      <c r="C4" s="33" t="str">
        <f t="shared" si="0"/>
        <v>3.DB80 T150S Precast Concrete Barrier</v>
      </c>
      <c r="D4" t="str">
        <f t="shared" si="1"/>
        <v>MD "3.DB80 T150S Precast Concrete Barrier"</v>
      </c>
      <c r="E4" s="31">
        <v>3</v>
      </c>
      <c r="F4" s="130" t="s">
        <v>42</v>
      </c>
      <c r="G4" s="31" t="str">
        <f t="shared" si="2"/>
        <v>MD "DB80 T150S Precast Concrete Barrier"</v>
      </c>
    </row>
    <row r="5" spans="1:7">
      <c r="A5">
        <v>4</v>
      </c>
      <c r="B5" s="24" t="s">
        <v>51</v>
      </c>
      <c r="C5" s="33" t="str">
        <f t="shared" si="0"/>
        <v>4.DB80A T150S Precast Concrete Barrier</v>
      </c>
      <c r="D5" t="str">
        <f t="shared" si="1"/>
        <v>MD "4.DB80A T150S Precast Concrete Barrier"</v>
      </c>
      <c r="E5" s="31">
        <v>4</v>
      </c>
      <c r="F5" s="130"/>
      <c r="G5" s="31" t="str">
        <f t="shared" si="2"/>
        <v>MD ""</v>
      </c>
    </row>
    <row r="6" spans="1:7">
      <c r="A6">
        <v>5</v>
      </c>
      <c r="B6" s="24" t="s">
        <v>62</v>
      </c>
      <c r="C6" s="33" t="str">
        <f t="shared" si="0"/>
        <v>5.JJ Hooks MASH Precast Concrete Barrier</v>
      </c>
      <c r="D6" t="str">
        <f t="shared" si="1"/>
        <v>MD "5.JJ Hooks MASH Precast Concrete Barrier"</v>
      </c>
      <c r="E6" s="31">
        <v>5</v>
      </c>
      <c r="F6" s="130" t="s">
        <v>51</v>
      </c>
      <c r="G6" s="31" t="str">
        <f t="shared" si="2"/>
        <v>MD "DB80A T150S Precast Concrete Barrier"</v>
      </c>
    </row>
    <row r="7" spans="1:7">
      <c r="A7">
        <v>6</v>
      </c>
      <c r="B7" s="27" t="s">
        <v>72</v>
      </c>
      <c r="C7" s="33" t="str">
        <f t="shared" si="0"/>
        <v>6.T-LOK Precast Concrete Barrier</v>
      </c>
      <c r="D7" t="str">
        <f t="shared" si="1"/>
        <v>MD "6.T-LOK Precast Concrete Barrier"</v>
      </c>
      <c r="E7" s="31">
        <v>6</v>
      </c>
      <c r="F7" s="130"/>
      <c r="G7" s="31" t="str">
        <f t="shared" si="2"/>
        <v>MD ""</v>
      </c>
    </row>
    <row r="8" spans="1:7">
      <c r="A8">
        <v>7</v>
      </c>
      <c r="B8" s="27" t="s">
        <v>82</v>
      </c>
      <c r="C8" s="33" t="str">
        <f t="shared" si="0"/>
        <v>7.T-LOK Rubber Precast Concrete Barrier</v>
      </c>
      <c r="D8" t="str">
        <f t="shared" si="1"/>
        <v>MD "7.T-LOK Rubber Precast Concrete Barrier"</v>
      </c>
      <c r="E8" s="31">
        <v>7</v>
      </c>
      <c r="F8" s="130" t="s">
        <v>62</v>
      </c>
      <c r="G8" s="31" t="str">
        <f t="shared" si="2"/>
        <v>MD "JJ Hooks MASH Precast Concrete Barrier"</v>
      </c>
    </row>
    <row r="9" spans="1:7">
      <c r="A9">
        <v>8</v>
      </c>
      <c r="B9" s="27" t="s">
        <v>87</v>
      </c>
      <c r="C9" s="33" t="str">
        <f t="shared" si="0"/>
        <v>8.Pin and Loop Precast Concrete Barrier</v>
      </c>
      <c r="D9" t="str">
        <f t="shared" si="1"/>
        <v>MD "8.Pin and Loop Precast Concrete Barrier"</v>
      </c>
      <c r="E9" s="31">
        <v>8</v>
      </c>
      <c r="F9" s="130"/>
      <c r="G9" s="31" t="str">
        <f t="shared" si="2"/>
        <v>MD ""</v>
      </c>
    </row>
    <row r="10" spans="1:7" ht="12.6" customHeight="1">
      <c r="A10">
        <v>9</v>
      </c>
      <c r="B10" s="24" t="s">
        <v>93</v>
      </c>
      <c r="C10" s="33" t="str">
        <f t="shared" si="0"/>
        <v>9.BG800</v>
      </c>
      <c r="D10" t="str">
        <f t="shared" si="1"/>
        <v>MD "9.BG800"</v>
      </c>
      <c r="E10" s="31">
        <v>9</v>
      </c>
      <c r="F10" s="27" t="s">
        <v>72</v>
      </c>
      <c r="G10" s="31" t="str">
        <f t="shared" si="2"/>
        <v>MD "T-LOK Precast Concrete Barrier"</v>
      </c>
    </row>
    <row r="11" spans="1:7" ht="12.6" customHeight="1">
      <c r="A11">
        <v>10</v>
      </c>
      <c r="B11" s="24" t="s">
        <v>113</v>
      </c>
      <c r="C11" s="33" t="str">
        <f t="shared" si="0"/>
        <v>10.HighwayGuard</v>
      </c>
      <c r="D11" t="str">
        <f t="shared" si="1"/>
        <v>MD "10.HighwayGuard"</v>
      </c>
      <c r="E11" s="31">
        <v>10</v>
      </c>
      <c r="F11" s="27" t="s">
        <v>82</v>
      </c>
      <c r="G11" s="31" t="str">
        <f t="shared" si="2"/>
        <v>MD "T-LOK Rubber Precast Concrete Barrier"</v>
      </c>
    </row>
    <row r="12" spans="1:7" ht="12.6" customHeight="1">
      <c r="A12">
        <v>11</v>
      </c>
      <c r="B12" s="24" t="s">
        <v>129</v>
      </c>
      <c r="C12" s="33" t="str">
        <f t="shared" si="0"/>
        <v>11.Defender Barrier</v>
      </c>
      <c r="D12" t="str">
        <f t="shared" si="1"/>
        <v>MD "11.Defender Barrier"</v>
      </c>
      <c r="E12" s="31">
        <v>11</v>
      </c>
      <c r="F12" s="27" t="s">
        <v>87</v>
      </c>
      <c r="G12" s="31" t="str">
        <f t="shared" si="2"/>
        <v>MD "Pin and Loop Precast Concrete Barrier"</v>
      </c>
    </row>
    <row r="13" spans="1:7">
      <c r="A13">
        <v>12</v>
      </c>
      <c r="B13" s="24" t="s">
        <v>151</v>
      </c>
      <c r="C13" s="33" t="str">
        <f t="shared" si="0"/>
        <v>12.SafeZone</v>
      </c>
      <c r="D13" t="str">
        <f t="shared" si="1"/>
        <v>MD "12.SafeZone"</v>
      </c>
      <c r="E13" s="31">
        <v>12</v>
      </c>
      <c r="F13" s="129" t="s">
        <v>94</v>
      </c>
      <c r="G13" s="31" t="str">
        <f t="shared" si="2"/>
        <v>MD "BG800 Steel Rail Safety Barrier"</v>
      </c>
    </row>
    <row r="14" spans="1:7">
      <c r="A14">
        <v>13</v>
      </c>
      <c r="B14" s="27" t="s">
        <v>166</v>
      </c>
      <c r="C14" s="33" t="str">
        <f t="shared" si="0"/>
        <v>13.IronMan Hybrid MASH</v>
      </c>
      <c r="D14" t="str">
        <f t="shared" si="1"/>
        <v>MD "13.IronMan Hybrid MASH"</v>
      </c>
      <c r="E14" s="31">
        <v>13</v>
      </c>
      <c r="F14" s="129"/>
      <c r="G14" s="31" t="str">
        <f t="shared" si="2"/>
        <v>MD ""</v>
      </c>
    </row>
    <row r="15" spans="1:7" ht="12.6" customHeight="1">
      <c r="A15">
        <v>14</v>
      </c>
      <c r="B15" s="24" t="s">
        <v>174</v>
      </c>
      <c r="C15" s="33" t="str">
        <f t="shared" si="0"/>
        <v>14.Zoneguard</v>
      </c>
      <c r="D15" t="str">
        <f t="shared" si="1"/>
        <v>MD "14.Zoneguard"</v>
      </c>
      <c r="E15" s="31">
        <v>14</v>
      </c>
      <c r="F15" s="29" t="s">
        <v>103</v>
      </c>
      <c r="G15" s="31" t="str">
        <f t="shared" si="2"/>
        <v>MD "BG800 MDS Steel Safety Barrier"</v>
      </c>
    </row>
    <row r="16" spans="1:7" ht="12.6" customHeight="1">
      <c r="A16">
        <v>15</v>
      </c>
      <c r="B16" s="24" t="s">
        <v>189</v>
      </c>
      <c r="C16" s="33" t="str">
        <f t="shared" si="0"/>
        <v>15.HV2</v>
      </c>
      <c r="D16" t="str">
        <f t="shared" si="1"/>
        <v>MD "15.HV2"</v>
      </c>
      <c r="E16" s="31">
        <v>15</v>
      </c>
      <c r="F16" s="29" t="s">
        <v>107</v>
      </c>
      <c r="G16" s="31" t="str">
        <f t="shared" si="2"/>
        <v>MD "BG800 LDS Steel Safety Barrier"</v>
      </c>
    </row>
    <row r="17" spans="1:7">
      <c r="A17">
        <v>16</v>
      </c>
      <c r="B17" s="24" t="s">
        <v>195</v>
      </c>
      <c r="C17" s="33" t="str">
        <f t="shared" si="0"/>
        <v>16.ArmorZone MASH</v>
      </c>
      <c r="D17" t="str">
        <f t="shared" si="1"/>
        <v>MD "16.ArmorZone MASH"</v>
      </c>
      <c r="E17" s="31">
        <v>16</v>
      </c>
      <c r="F17" s="129" t="s">
        <v>114</v>
      </c>
      <c r="G17" s="31" t="str">
        <f t="shared" si="2"/>
        <v>MD "HighwayGuard Safety Barrier - Temporary"</v>
      </c>
    </row>
    <row r="18" spans="1:7">
      <c r="A18">
        <v>17</v>
      </c>
      <c r="B18" s="27" t="s">
        <v>202</v>
      </c>
      <c r="C18" s="33" t="str">
        <f t="shared" si="0"/>
        <v>17.Ricochet</v>
      </c>
      <c r="D18" t="str">
        <f t="shared" si="1"/>
        <v>MD "17.Ricochet"</v>
      </c>
      <c r="E18" s="31">
        <v>17</v>
      </c>
      <c r="F18" s="129"/>
      <c r="G18" s="31" t="str">
        <f t="shared" si="2"/>
        <v>MD ""</v>
      </c>
    </row>
    <row r="19" spans="1:7">
      <c r="A19">
        <v>18</v>
      </c>
      <c r="B19" s="24" t="s">
        <v>208</v>
      </c>
      <c r="C19" s="33" t="str">
        <f t="shared" si="0"/>
        <v>18.Lo-Ro Water Cable Barrier</v>
      </c>
      <c r="D19" t="str">
        <f t="shared" si="1"/>
        <v>MD "18.Lo-Ro Water Cable Barrier"</v>
      </c>
      <c r="E19" s="31">
        <v>18</v>
      </c>
      <c r="F19" s="129"/>
      <c r="G19" s="31" t="str">
        <f t="shared" si="2"/>
        <v>MD ""</v>
      </c>
    </row>
    <row r="20" spans="1:7">
      <c r="A20">
        <v>19</v>
      </c>
      <c r="B20" s="27" t="s">
        <v>213</v>
      </c>
      <c r="C20" s="33" t="str">
        <f t="shared" si="0"/>
        <v>19.Shield I</v>
      </c>
      <c r="D20" t="str">
        <f t="shared" si="1"/>
        <v>MD "19.Shield I"</v>
      </c>
      <c r="E20" s="31">
        <v>19</v>
      </c>
      <c r="F20" s="129" t="s">
        <v>120</v>
      </c>
      <c r="G20" s="31" t="str">
        <f t="shared" si="2"/>
        <v>MD "HighwayGuard LDS Safety Barrier – Temporary "</v>
      </c>
    </row>
    <row r="21" spans="1:7">
      <c r="A21">
        <v>20</v>
      </c>
      <c r="B21" s="27" t="s">
        <v>219</v>
      </c>
      <c r="C21" s="33" t="str">
        <f t="shared" si="0"/>
        <v>20.Mobile Barriers MBT-1</v>
      </c>
      <c r="D21" t="str">
        <f t="shared" si="1"/>
        <v>MD "20.Mobile Barriers MBT-1"</v>
      </c>
      <c r="E21" s="31">
        <v>20</v>
      </c>
      <c r="F21" s="129"/>
      <c r="G21" s="31" t="str">
        <f t="shared" si="2"/>
        <v>MD ""</v>
      </c>
    </row>
    <row r="22" spans="1:7">
      <c r="A22">
        <v>21</v>
      </c>
      <c r="B22" s="24" t="s">
        <v>228</v>
      </c>
      <c r="C22" s="33" t="str">
        <f t="shared" si="0"/>
        <v>21.Rebloc 80SAH 12</v>
      </c>
      <c r="D22" t="str">
        <f t="shared" si="1"/>
        <v>MD "21.Rebloc 80SAH 12"</v>
      </c>
      <c r="E22" s="31">
        <v>21</v>
      </c>
      <c r="F22" s="129"/>
      <c r="G22" s="31" t="str">
        <f t="shared" si="2"/>
        <v>MD ""</v>
      </c>
    </row>
    <row r="23" spans="1:7">
      <c r="A23">
        <v>22</v>
      </c>
      <c r="B23" s="27" t="s">
        <v>235</v>
      </c>
      <c r="C23" s="33" t="str">
        <f t="shared" si="0"/>
        <v>22.Rebloc 80SAH 12 8B</v>
      </c>
      <c r="D23" t="str">
        <f t="shared" si="1"/>
        <v>MD "22.Rebloc 80SAH 12 8B"</v>
      </c>
      <c r="E23" s="31">
        <v>22</v>
      </c>
      <c r="F23" s="29" t="s">
        <v>125</v>
      </c>
      <c r="G23" s="31" t="str">
        <f t="shared" si="2"/>
        <v>MD "HighwayGuard MDS Safety Barrier – Temporary "</v>
      </c>
    </row>
    <row r="24" spans="1:7">
      <c r="A24">
        <v>23</v>
      </c>
      <c r="B24" s="27" t="s">
        <v>241</v>
      </c>
      <c r="C24" s="33" t="str">
        <f t="shared" si="0"/>
        <v>23.Rebloc 80SAH 4</v>
      </c>
      <c r="D24" t="str">
        <f t="shared" si="1"/>
        <v>MD "23.Rebloc 80SAH 4"</v>
      </c>
      <c r="E24" s="31">
        <v>23</v>
      </c>
      <c r="F24" s="29" t="s">
        <v>130</v>
      </c>
      <c r="G24" s="31" t="str">
        <f t="shared" si="2"/>
        <v>MD "DEFENDER Barrier 70 Steel Safety Barrier - Temporary  "</v>
      </c>
    </row>
    <row r="25" spans="1:7" ht="12.6" customHeight="1">
      <c r="A25">
        <v>24</v>
      </c>
      <c r="B25" s="13" t="s">
        <v>246</v>
      </c>
      <c r="C25" s="33" t="str">
        <f t="shared" si="0"/>
        <v>24.Rebloc 120FA 6 SF</v>
      </c>
      <c r="D25" t="str">
        <f t="shared" si="1"/>
        <v>MD "24.Rebloc 120FA 6 SF"</v>
      </c>
      <c r="E25" s="31">
        <v>24</v>
      </c>
      <c r="F25" s="29" t="s">
        <v>136</v>
      </c>
      <c r="G25" s="31" t="str">
        <f t="shared" si="2"/>
        <v>MD "DEFENDER Barrier 100 LDS Safety Barrier - Temporary"</v>
      </c>
    </row>
    <row r="26" spans="1:7">
      <c r="C26" s="33"/>
      <c r="E26" s="31">
        <v>25</v>
      </c>
      <c r="F26" s="129" t="s">
        <v>141</v>
      </c>
      <c r="G26" s="31" t="str">
        <f t="shared" si="2"/>
        <v>MD "DEFENDER Barrier 100 HC Steel Safety Barrier - Temporary "</v>
      </c>
    </row>
    <row r="27" spans="1:7">
      <c r="C27" s="33"/>
      <c r="E27" s="31">
        <v>26</v>
      </c>
      <c r="F27" s="129"/>
      <c r="G27" s="31" t="str">
        <f t="shared" si="2"/>
        <v>MD ""</v>
      </c>
    </row>
    <row r="28" spans="1:7">
      <c r="C28" s="33"/>
      <c r="E28" s="31">
        <v>27</v>
      </c>
      <c r="F28" s="129"/>
      <c r="G28" s="31" t="str">
        <f t="shared" si="2"/>
        <v>MD ""</v>
      </c>
    </row>
    <row r="29" spans="1:7">
      <c r="C29" s="33"/>
      <c r="E29" s="31">
        <v>28</v>
      </c>
      <c r="F29" s="29" t="s">
        <v>146</v>
      </c>
      <c r="G29" s="31" t="str">
        <f t="shared" si="2"/>
        <v>MD "DEFENDER 100 FS Safety Barrier - Temporary "</v>
      </c>
    </row>
    <row r="30" spans="1:7">
      <c r="C30" s="33"/>
      <c r="E30" s="31">
        <v>29</v>
      </c>
      <c r="F30" s="129" t="s">
        <v>152</v>
      </c>
      <c r="G30" s="31" t="str">
        <f t="shared" si="2"/>
        <v>MD "SAFEZONE Safety Barrier - Temporary  "</v>
      </c>
    </row>
    <row r="31" spans="1:7">
      <c r="C31" s="33"/>
      <c r="E31" s="31">
        <v>30</v>
      </c>
      <c r="F31" s="129"/>
      <c r="G31" s="31" t="str">
        <f t="shared" si="2"/>
        <v>MD ""</v>
      </c>
    </row>
    <row r="32" spans="1:7">
      <c r="C32" s="33"/>
      <c r="E32" s="31">
        <v>31</v>
      </c>
      <c r="F32" s="129" t="s">
        <v>157</v>
      </c>
      <c r="G32" s="31" t="str">
        <f t="shared" si="2"/>
        <v>MD "SafeZone LDS Safety Barrier – Permanent &amp; Temporary  "</v>
      </c>
    </row>
    <row r="33" spans="3:7">
      <c r="C33" s="33"/>
      <c r="E33" s="31">
        <v>32</v>
      </c>
      <c r="F33" s="129"/>
      <c r="G33" s="31" t="str">
        <f t="shared" si="2"/>
        <v>MD ""</v>
      </c>
    </row>
    <row r="34" spans="3:7" ht="31.5">
      <c r="C34" s="33"/>
      <c r="E34" s="31">
        <v>33</v>
      </c>
      <c r="F34" s="29" t="s">
        <v>163</v>
      </c>
      <c r="G34" s="31" t="str">
        <f t="shared" si="2"/>
        <v>MD "SAFEZONE MDS Safety Barrier – Permanent &amp; Temporary "</v>
      </c>
    </row>
    <row r="35" spans="3:7">
      <c r="C35" s="33"/>
      <c r="E35" s="31">
        <v>34</v>
      </c>
      <c r="F35" s="29" t="s">
        <v>167</v>
      </c>
      <c r="G35" s="31" t="str">
        <f t="shared" si="2"/>
        <v>MD "IRONMAN HYBRID Steel Safety Barrier - Temporary "</v>
      </c>
    </row>
    <row r="36" spans="3:7">
      <c r="C36" s="33"/>
      <c r="E36" s="31">
        <v>35</v>
      </c>
      <c r="F36" s="29" t="s">
        <v>175</v>
      </c>
      <c r="G36" s="31" t="str">
        <f t="shared" si="2"/>
        <v>MD "ZONEGUARD Steel Safety Barrier - Temporary"</v>
      </c>
    </row>
    <row r="37" spans="3:7">
      <c r="C37" s="33"/>
      <c r="E37" s="31">
        <v>36</v>
      </c>
      <c r="F37" s="129" t="s">
        <v>183</v>
      </c>
      <c r="G37" s="31" t="str">
        <f t="shared" si="2"/>
        <v>MD "ZONEGUARD MDS Steel Safety Barrier - Temporary  "</v>
      </c>
    </row>
    <row r="38" spans="3:7">
      <c r="C38" s="33"/>
      <c r="E38" s="31">
        <v>37</v>
      </c>
      <c r="F38" s="129"/>
      <c r="G38" s="31" t="str">
        <f t="shared" si="2"/>
        <v>MD ""</v>
      </c>
    </row>
    <row r="39" spans="3:7">
      <c r="C39" s="33"/>
      <c r="E39" s="31">
        <v>38</v>
      </c>
      <c r="F39" s="129" t="s">
        <v>190</v>
      </c>
      <c r="G39" s="31" t="str">
        <f t="shared" si="2"/>
        <v>MD "HV2 Steel and Concrete Longitudinal Barrier - Temporary"</v>
      </c>
    </row>
    <row r="40" spans="3:7">
      <c r="C40" s="33"/>
      <c r="E40" s="31">
        <v>39</v>
      </c>
      <c r="F40" s="129"/>
      <c r="G40" s="31" t="str">
        <f t="shared" si="2"/>
        <v>MD ""</v>
      </c>
    </row>
    <row r="41" spans="3:7">
      <c r="C41" s="33"/>
      <c r="E41" s="31">
        <v>40</v>
      </c>
      <c r="F41" s="129" t="s">
        <v>196</v>
      </c>
      <c r="G41" s="31" t="str">
        <f t="shared" si="2"/>
        <v>MD "ArmorZone MASH Water Filled Safety Barrier System - Temporary"</v>
      </c>
    </row>
    <row r="42" spans="3:7">
      <c r="C42" s="33"/>
      <c r="E42" s="31">
        <v>41</v>
      </c>
      <c r="F42" s="129"/>
      <c r="G42" s="31" t="str">
        <f t="shared" si="2"/>
        <v>MD ""</v>
      </c>
    </row>
    <row r="43" spans="3:7" ht="31.5">
      <c r="C43" s="33"/>
      <c r="E43" s="31">
        <v>42</v>
      </c>
      <c r="F43" s="29" t="s">
        <v>203</v>
      </c>
      <c r="G43" s="31" t="str">
        <f t="shared" si="2"/>
        <v>MD "RICOCHET Plastic Water Filled Safety Barrier System - Temporary"</v>
      </c>
    </row>
    <row r="44" spans="3:7">
      <c r="C44" s="33"/>
      <c r="E44" s="31">
        <v>43</v>
      </c>
      <c r="F44" s="129" t="s">
        <v>209</v>
      </c>
      <c r="G44" s="31" t="str">
        <f t="shared" si="2"/>
        <v>MD "Lo-Ro Water Filled Cable Barrier System - Temporary "</v>
      </c>
    </row>
    <row r="45" spans="3:7">
      <c r="C45" s="33"/>
      <c r="E45" s="31">
        <v>44</v>
      </c>
      <c r="F45" s="129"/>
      <c r="G45" s="31" t="str">
        <f t="shared" si="2"/>
        <v>MD ""</v>
      </c>
    </row>
    <row r="46" spans="3:7">
      <c r="C46" s="33"/>
      <c r="E46" s="31">
        <v>45</v>
      </c>
      <c r="F46" s="29" t="s">
        <v>214</v>
      </c>
      <c r="G46" s="31" t="str">
        <f t="shared" si="2"/>
        <v>MD "SHIELD I Water Filled Safety Barrier System - Temporary "</v>
      </c>
    </row>
    <row r="47" spans="3:7" ht="31.5">
      <c r="C47" s="33"/>
      <c r="E47" s="31">
        <v>46</v>
      </c>
      <c r="F47" s="29" t="s">
        <v>220</v>
      </c>
      <c r="G47" s="31" t="str">
        <f t="shared" si="2"/>
        <v>MD "MOBILE BARRIER MBT-1 Steel Safety Barrier - Temporary "</v>
      </c>
    </row>
    <row r="48" spans="3:7">
      <c r="C48" s="33"/>
      <c r="E48" s="31">
        <v>47</v>
      </c>
      <c r="F48" s="129" t="s">
        <v>229</v>
      </c>
      <c r="G48" s="31" t="str">
        <f t="shared" si="2"/>
        <v>MD "Rebloc 80SAH_12 Safety Barrier - Temporary"</v>
      </c>
    </row>
    <row r="49" spans="3:7">
      <c r="C49" s="33"/>
      <c r="E49" s="31">
        <v>48</v>
      </c>
      <c r="F49" s="129"/>
      <c r="G49" s="31" t="str">
        <f t="shared" si="2"/>
        <v>MD ""</v>
      </c>
    </row>
    <row r="50" spans="3:7">
      <c r="C50" s="33"/>
      <c r="E50" s="31">
        <v>49</v>
      </c>
      <c r="F50" s="29" t="s">
        <v>236</v>
      </c>
      <c r="G50" s="31" t="str">
        <f t="shared" si="2"/>
        <v>MD "Rebloc 80SAH_12_8B Safety Barrier - Temporary"</v>
      </c>
    </row>
    <row r="51" spans="3:7">
      <c r="C51" s="33"/>
      <c r="E51" s="31">
        <v>50</v>
      </c>
      <c r="F51" s="29" t="s">
        <v>242</v>
      </c>
      <c r="G51" s="31" t="str">
        <f t="shared" si="2"/>
        <v>MD "Rebloc 80SAH_4 Safety Barrier - Temporary "</v>
      </c>
    </row>
    <row r="52" spans="3:7">
      <c r="C52" s="33"/>
      <c r="E52" s="31">
        <v>51</v>
      </c>
      <c r="F52" s="129" t="s">
        <v>247</v>
      </c>
      <c r="G52" s="31" t="str">
        <f t="shared" si="2"/>
        <v>MD "Rebloc 120FA_6_SF Safety Barrier - Temporary"</v>
      </c>
    </row>
    <row r="53" spans="3:7">
      <c r="C53" s="33"/>
      <c r="E53" s="31">
        <v>52</v>
      </c>
      <c r="F53" s="129"/>
      <c r="G53" s="31" t="str">
        <f t="shared" si="2"/>
        <v>MD ""</v>
      </c>
    </row>
  </sheetData>
  <mergeCells count="15">
    <mergeCell ref="F30:F31"/>
    <mergeCell ref="F4:F5"/>
    <mergeCell ref="F6:F7"/>
    <mergeCell ref="F8:F9"/>
    <mergeCell ref="F13:F14"/>
    <mergeCell ref="F17:F19"/>
    <mergeCell ref="F20:F22"/>
    <mergeCell ref="F26:F28"/>
    <mergeCell ref="F52:F53"/>
    <mergeCell ref="F32:F33"/>
    <mergeCell ref="F37:F38"/>
    <mergeCell ref="F39:F40"/>
    <mergeCell ref="F41:F42"/>
    <mergeCell ref="F44:F45"/>
    <mergeCell ref="F48:F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2"/>
  <sheetViews>
    <sheetView workbookViewId="0">
      <selection activeCell="H37" sqref="H37"/>
    </sheetView>
  </sheetViews>
  <sheetFormatPr defaultColWidth="12.5703125" defaultRowHeight="15.75" customHeight="1"/>
  <cols>
    <col min="1" max="1" width="15.140625" customWidth="1"/>
  </cols>
  <sheetData>
    <row r="1" spans="1:4" ht="15.75" customHeight="1">
      <c r="A1" s="1" t="s">
        <v>388</v>
      </c>
      <c r="B1" s="1" t="s">
        <v>6</v>
      </c>
      <c r="C1" s="1" t="s">
        <v>9</v>
      </c>
      <c r="D1" s="1" t="s">
        <v>10</v>
      </c>
    </row>
    <row r="2" spans="1:4" ht="15.75" customHeight="1">
      <c r="A2" s="1" t="s">
        <v>389</v>
      </c>
      <c r="B2" s="1">
        <v>0</v>
      </c>
      <c r="C2" s="1">
        <v>0</v>
      </c>
      <c r="D2" s="1">
        <v>0</v>
      </c>
    </row>
    <row r="3" spans="1:4" ht="15.75" customHeight="1">
      <c r="A3" s="1" t="s">
        <v>26</v>
      </c>
      <c r="B3" s="1">
        <v>80</v>
      </c>
      <c r="C3" s="1">
        <v>1.44</v>
      </c>
      <c r="D3" s="1">
        <v>2.0099999999999998</v>
      </c>
    </row>
    <row r="4" spans="1:4" ht="15.75" customHeight="1">
      <c r="A4" s="1" t="s">
        <v>41</v>
      </c>
      <c r="B4" s="1">
        <v>80</v>
      </c>
      <c r="C4" s="1">
        <v>0.87</v>
      </c>
      <c r="D4" s="1">
        <v>1.45</v>
      </c>
    </row>
    <row r="5" spans="1:4" ht="15.75" customHeight="1">
      <c r="A5" s="1" t="s">
        <v>50</v>
      </c>
      <c r="B5" s="1">
        <v>80</v>
      </c>
      <c r="C5" s="1">
        <v>0.87</v>
      </c>
      <c r="D5" s="1">
        <v>1.45</v>
      </c>
    </row>
    <row r="6" spans="1:4" ht="15.75" customHeight="1">
      <c r="A6" s="1" t="s">
        <v>61</v>
      </c>
      <c r="B6" s="1">
        <v>80</v>
      </c>
      <c r="C6" s="1">
        <v>1.63</v>
      </c>
      <c r="D6" s="1">
        <v>2.2000000000000002</v>
      </c>
    </row>
    <row r="7" spans="1:4" ht="15.75" customHeight="1">
      <c r="A7" s="1" t="s">
        <v>71</v>
      </c>
      <c r="B7" s="1">
        <v>80</v>
      </c>
      <c r="C7" s="1">
        <v>1.27</v>
      </c>
      <c r="D7" s="1">
        <v>1.88</v>
      </c>
    </row>
    <row r="8" spans="1:4" ht="15.75" customHeight="1">
      <c r="A8" s="1" t="s">
        <v>81</v>
      </c>
      <c r="B8" s="1">
        <v>80</v>
      </c>
      <c r="C8" s="1">
        <v>1.27</v>
      </c>
      <c r="D8" s="1">
        <v>1.88</v>
      </c>
    </row>
    <row r="9" spans="1:4" ht="15.75" customHeight="1">
      <c r="A9" s="1" t="s">
        <v>86</v>
      </c>
      <c r="B9" s="1">
        <v>80</v>
      </c>
      <c r="C9" s="1">
        <v>1.61</v>
      </c>
      <c r="D9" s="1">
        <v>2.2200000000000002</v>
      </c>
    </row>
    <row r="10" spans="1:4" ht="15.75" customHeight="1">
      <c r="A10" s="1" t="s">
        <v>93</v>
      </c>
      <c r="B10" s="1">
        <v>100</v>
      </c>
      <c r="C10" s="1">
        <v>1.6</v>
      </c>
      <c r="D10" s="1">
        <v>2.1</v>
      </c>
    </row>
    <row r="11" spans="1:4" ht="15.75" customHeight="1">
      <c r="A11" s="1" t="s">
        <v>113</v>
      </c>
      <c r="B11" s="1">
        <v>100</v>
      </c>
      <c r="C11" s="1">
        <v>1.32</v>
      </c>
      <c r="D11" s="1">
        <v>1.95</v>
      </c>
    </row>
    <row r="12" spans="1:4" ht="15.75" customHeight="1">
      <c r="A12" s="1" t="s">
        <v>129</v>
      </c>
      <c r="B12" s="1">
        <v>100</v>
      </c>
      <c r="C12" s="1">
        <v>1.35</v>
      </c>
      <c r="D12" s="1">
        <v>1.83</v>
      </c>
    </row>
    <row r="13" spans="1:4" ht="15.75" customHeight="1">
      <c r="A13" s="1" t="s">
        <v>151</v>
      </c>
      <c r="B13" s="1">
        <v>100</v>
      </c>
      <c r="C13" s="1">
        <v>1.7</v>
      </c>
      <c r="D13" s="1">
        <v>2.06</v>
      </c>
    </row>
    <row r="14" spans="1:4" ht="15.75" customHeight="1">
      <c r="A14" s="1" t="s">
        <v>283</v>
      </c>
      <c r="B14" s="1">
        <v>80</v>
      </c>
      <c r="C14" s="1">
        <v>1.9</v>
      </c>
      <c r="D14" s="1">
        <v>2.04</v>
      </c>
    </row>
    <row r="15" spans="1:4" ht="15.75" customHeight="1">
      <c r="A15" s="1" t="s">
        <v>174</v>
      </c>
      <c r="B15" s="1">
        <v>100</v>
      </c>
      <c r="C15" s="1">
        <v>1.65</v>
      </c>
      <c r="D15" s="1">
        <v>2.16</v>
      </c>
    </row>
    <row r="16" spans="1:4" ht="15.75" customHeight="1">
      <c r="A16" s="1" t="s">
        <v>189</v>
      </c>
      <c r="B16" s="1">
        <v>100</v>
      </c>
      <c r="C16" s="1">
        <v>1.47</v>
      </c>
      <c r="D16" s="1">
        <v>1.92</v>
      </c>
    </row>
    <row r="17" spans="1:4" ht="15.75" customHeight="1">
      <c r="A17" s="1" t="s">
        <v>195</v>
      </c>
      <c r="B17" s="1">
        <v>70</v>
      </c>
      <c r="C17" s="1">
        <v>4.0999999999999996</v>
      </c>
      <c r="D17" s="1">
        <v>4.5999999999999996</v>
      </c>
    </row>
    <row r="18" spans="1:4" ht="15.75" customHeight="1">
      <c r="A18" s="1" t="s">
        <v>202</v>
      </c>
      <c r="B18" s="1">
        <v>50</v>
      </c>
      <c r="C18" s="1">
        <v>2.2799999999999998</v>
      </c>
      <c r="D18" s="1">
        <v>2.86</v>
      </c>
    </row>
    <row r="19" spans="1:4" ht="15.75" customHeight="1">
      <c r="A19" s="1" t="s">
        <v>289</v>
      </c>
      <c r="B19" s="1">
        <v>70</v>
      </c>
      <c r="C19" s="1">
        <v>3.6</v>
      </c>
      <c r="D19" s="1">
        <v>4.0999999999999996</v>
      </c>
    </row>
    <row r="20" spans="1:4" ht="15.75" customHeight="1">
      <c r="A20" s="1" t="s">
        <v>213</v>
      </c>
      <c r="B20" s="1">
        <v>70</v>
      </c>
      <c r="C20" s="1">
        <v>1.82</v>
      </c>
      <c r="D20" s="1">
        <v>1.82</v>
      </c>
    </row>
    <row r="21" spans="1:4" ht="15.75" customHeight="1">
      <c r="A21" s="1" t="s">
        <v>219</v>
      </c>
      <c r="B21" s="1">
        <v>100</v>
      </c>
      <c r="C21" s="1">
        <v>0.61</v>
      </c>
      <c r="D21" s="1">
        <v>1.22</v>
      </c>
    </row>
    <row r="22" spans="1:4" ht="15.75" customHeight="1">
      <c r="A22" s="1" t="s">
        <v>228</v>
      </c>
      <c r="B22" s="1">
        <v>100</v>
      </c>
      <c r="C22" s="1">
        <v>1.31</v>
      </c>
      <c r="D22" s="1">
        <v>1.56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79a8f-d036-43dd-b2ba-323d65615330">
      <Terms xmlns="http://schemas.microsoft.com/office/infopath/2007/PartnerControls"/>
    </lcf76f155ced4ddcb4097134ff3c332f>
    <TaxCatchAll xmlns="8711479e-22cc-4292-8fef-f5f9981cbf5f" xsi:nil="true"/>
    <Time xmlns="f8379a8f-d036-43dd-b2ba-323d656153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29E166-5B19-4351-A0C3-3AB5CD886006}">
  <ds:schemaRefs>
    <ds:schemaRef ds:uri="http://schemas.microsoft.com/office/2006/metadata/properties"/>
    <ds:schemaRef ds:uri="http://schemas.microsoft.com/office/infopath/2007/PartnerControls"/>
    <ds:schemaRef ds:uri="f8379a8f-d036-43dd-b2ba-323d65615330"/>
    <ds:schemaRef ds:uri="8711479e-22cc-4292-8fef-f5f9981cbf5f"/>
  </ds:schemaRefs>
</ds:datastoreItem>
</file>

<file path=customXml/itemProps2.xml><?xml version="1.0" encoding="utf-8"?>
<ds:datastoreItem xmlns:ds="http://schemas.openxmlformats.org/officeDocument/2006/customXml" ds:itemID="{DEAD3F32-6481-40DF-8F85-BF4949EA9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1479e-22cc-4292-8fef-f5f9981cbf5f"/>
    <ds:schemaRef ds:uri="f8379a8f-d036-43dd-b2ba-323d6561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EB55BB-C180-491B-AC2E-C1FE9C3C5B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Barrier data</vt:lpstr>
      <vt:lpstr>Sheet1</vt:lpstr>
      <vt:lpstr>manufacturer</vt:lpstr>
      <vt:lpstr>Sheet5</vt:lpstr>
      <vt:lpstr>End treatment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Sanju</dc:creator>
  <cp:keywords/>
  <dc:description/>
  <cp:lastModifiedBy>Sanju</cp:lastModifiedBy>
  <cp:revision/>
  <dcterms:created xsi:type="dcterms:W3CDTF">2026-01-12T00:50:53Z</dcterms:created>
  <dcterms:modified xsi:type="dcterms:W3CDTF">2026-04-01T23:18:54Z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</Properties>
</file>